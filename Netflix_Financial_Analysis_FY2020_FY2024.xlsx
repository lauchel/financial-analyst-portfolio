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ummary" sheetId="1" state="visible" r:id="rId3"/>
    <sheet name="Subscriber Analysis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<sst xmlns="http://schemas.openxmlformats.org/spreadsheetml/2006/main" count="68" uniqueCount="58">
  <si>
    <t xml:space="preserve">Netflix Inc. (NASDAQ: NFLX) — Financial Analysis FY2020–FY2024</t>
  </si>
  <si>
    <t xml:space="preserve">Source: Netflix 10-K annual reports filed with SEC EDGAR | All figures in USD thousands unless noted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</si>
  <si>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</si>
  <si>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</si>
  <si>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</si>
  <si>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</si>
  <si>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</si>
  <si>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4-yr CAGR</t>
  </si>
  <si>
    <t xml:space="preserve">  INCOME STATEMENT ($000s)</t>
  </si>
  <si>
    <t xml:space="preserve">Total Revenue</t>
  </si>
  <si>
    <t xml:space="preserve">Operating Income</t>
  </si>
  <si>
    <t xml:space="preserve">Net Income</t>
  </si>
  <si>
    <t xml:space="preserve">Content Expense</t>
  </si>
  <si>
    <t xml:space="preserve">Marketing</t>
  </si>
  <si>
    <t xml:space="preserve">Tech &amp; Dev</t>
  </si>
  <si>
    <t xml:space="preserve">G&amp;A</t>
  </si>
  <si>
    <t xml:space="preserve">  MARGIN ANALYSIS</t>
  </si>
  <si>
    <t xml:space="preserve">Operating Margin %</t>
  </si>
  <si>
    <t xml:space="preserve">Net Margin %</t>
  </si>
  <si>
    <t xml:space="preserve">Content % Revenue</t>
  </si>
  <si>
    <t xml:space="preserve">Marketing % Revenue</t>
  </si>
  <si>
    <t xml:space="preserve">  GROWTH RATES</t>
  </si>
  <si>
    <t xml:space="preserve">Revenue Growth %</t>
  </si>
  <si>
    <t xml:space="preserve">Op. Income Growth %</t>
  </si>
  <si>
    <t xml:space="preserve">Total Subscriber Growth %</t>
  </si>
  <si>
    <t xml:space="preserve">Netflix — Subscriber &amp; ARPU Analysis by Region FY2020–FY2024</t>
  </si>
  <si>
    <t xml:space="preserve">Source: Netflix 10-K &amp; quarterly 8-K shareholder letters | Paid memberships in millions | ARPU = monthly average</t>
  </si>
  <si>
    <t xml:space="preserve">5-yr CAGR</t>
  </si>
  <si>
    <t xml:space="preserve">  PAID SUBSCRIBERS (millions) — Source: Netflix 10-K</t>
  </si>
  <si>
    <t xml:space="preserve">UCAN Paid Subscribers</t>
  </si>
  <si>
    <t xml:space="preserve">EMEA Paid Subscribers</t>
  </si>
  <si>
    <t xml:space="preserve">LATAM Paid Subscribers</t>
  </si>
  <si>
    <t xml:space="preserve">APAC Paid Subscribers</t>
  </si>
  <si>
    <t xml:space="preserve">TOTAL PAID SUBSCRIBERS</t>
  </si>
  <si>
    <t xml:space="preserve">  AVERAGE MONTHLY REVENUE PER MEMBERSHIP ($) — Source: Netflix 10-K</t>
  </si>
  <si>
    <t xml:space="preserve">UCAN Monthly ARPU</t>
  </si>
  <si>
    <t xml:space="preserve">EMEA Monthly ARPU</t>
  </si>
  <si>
    <t xml:space="preserve">LATAM Monthly ARPU</t>
  </si>
  <si>
    <t xml:space="preserve">APAC Monthly ARPU</t>
  </si>
  <si>
    <t xml:space="preserve">  REGIONAL SUBSCRIBER MIX (% of total)</t>
  </si>
  <si>
    <t xml:space="preserve">UCAN % of Total</t>
  </si>
  <si>
    <t xml:space="preserve">EMEA % of Total</t>
  </si>
  <si>
    <t xml:space="preserve">LATAM % of Total</t>
  </si>
  <si>
    <t xml:space="preserve">APAC % of Total</t>
  </si>
  <si>
    <t xml:space="preserve">  KEY METRICS</t>
  </si>
  <si>
    <t xml:space="preserve">Total Subscribers FY2024</t>
  </si>
  <si>
    <t xml:space="preserve">YoY Subscriber Growth FY2024</t>
  </si>
  <si>
    <t xml:space="preserve">Total Revenue FY2024 ($B)</t>
  </si>
  <si>
    <t xml:space="preserve">Op. Income FY2024 ($B)</t>
  </si>
  <si>
    <t xml:space="preserve">Operating Margin FY2024</t>
  </si>
  <si>
    <t xml:space="preserve">Revenue 4-yr CAGR</t>
  </si>
  <si>
    <t xml:space="preserve">Subscriber 4-yr CAGR</t>
  </si>
  <si>
    <t xml:space="preserve">Highest ARPU Region FY2024</t>
  </si>
  <si>
    <t xml:space="preserve">UCAN — $17.29/mo</t>
  </si>
  <si>
    <t xml:space="preserve">Lowest ARPU Region FY2024</t>
  </si>
  <si>
    <t xml:space="preserve">LATAM — $7.21/mo</t>
  </si>
  <si>
    <t xml:space="preserve">Netflix — Visual Analysis FY2020–FY2024</t>
  </si>
  <si>
    <t xml:space="preserve">Year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</si>
</sst>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#,##0.0\M"/>
    <numFmt numFmtId="168" formatCode="\$#,##0.00"/>
    <numFmt numFmtId="169" formatCode="\$#,##0.0\B"/>
    <numFmt numFmtId="170" formatCode="0.0%"/>
    <numFmt numFmtId="171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D9E75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E50914"/>
      <name val="Arial"/>
      <family val="0"/>
      <charset val="1"/>
    </font>
    <font>
      <b val="true"/>
      <sz val="10"/>
      <color rgb="FFCC7A00"/>
      <name val="Arial"/>
      <family val="0"/>
      <charset val="1"/>
    </font>
    <font>
      <sz val="10"/>
      <color rgb="FFE50914"/>
      <name val="Arial"/>
      <family val="0"/>
      <charset val="1"/>
    </font>
    <font>
      <sz val="10"/>
      <color rgb="FFCC7A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C7A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20710"/>
        <bgColor rgb="FFE50914"/>
      </patternFill>
    </fill>
    <fill>
      <patternFill patternType="solid">
        <fgColor rgb="FFFCE4D6"/>
        <bgColor rgb="FFF2F2F2"/>
      </patternFill>
    </fill>
    <fill>
      <patternFill patternType="solid">
        <fgColor rgb="FFE50914"/>
        <bgColor rgb="FFB20710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1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11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3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1" fillId="7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9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9" fillId="1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0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0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1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2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B2071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C7A00"/>
      <rgbColor rgb="FF595959"/>
      <rgbColor rgb="FF969696"/>
      <rgbColor rgb="FF1F386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Operating Income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509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Charts!$J$3:$N$3</c:f>
              <c:numCache>
                <c:formatCode>General</c:formatCode>
                <c:ptCount val="5"/>
                <c:pt idx="0">
                  <c:v>25</c:v>
                </c:pt>
                <c:pt idx="1">
                  <c:v>29.7</c:v>
                </c:pt>
                <c:pt idx="2">
                  <c:v>31.62</c:v>
                </c:pt>
                <c:pt idx="3">
                  <c:v>33.72</c:v>
                </c:pt>
                <c:pt idx="4">
                  <c:v>39</c:v>
                </c:pt>
              </c:numCache>
            </c:numRef>
          </c:val>
        </c:ser>
        <c:ser>
          <c:idx val="1"/>
          <c:order val="1"/>
          <c:tx>
            <c:strRef>
              <c:f>"Op. Income"</c:f>
              <c:strCache>
                <c:ptCount val="1"/>
                <c:pt idx="0">
                  <c:v>Op. Income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Charts!$J$4:$N$4</c:f>
              <c:numCache>
                <c:formatCode>General</c:formatCode>
                <c:ptCount val="5"/>
                <c:pt idx="0">
                  <c:v>4.59</c:v>
                </c:pt>
                <c:pt idx="1">
                  <c:v>6.19</c:v>
                </c:pt>
                <c:pt idx="2">
                  <c:v>5.63</c:v>
                </c:pt>
                <c:pt idx="3">
                  <c:v>6.95</c:v>
                </c:pt>
                <c:pt idx="4">
                  <c:v>10.42</c:v>
                </c:pt>
              </c:numCache>
            </c:numRef>
          </c:val>
        </c:ser>
        <c:gapWidth val="150"/>
        <c:overlap val="0"/>
        <c:axId val="79415140"/>
        <c:axId val="85617569"/>
      </c:barChart>
      <c:catAx>
        <c:axId val="79415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7569"/>
        <c:crosses val="autoZero"/>
        <c:auto val="1"/>
        <c:lblAlgn val="ctr"/>
        <c:lblOffset val="100"/>
        <c:noMultiLvlLbl val="0"/>
      </c:catAx>
      <c:valAx>
        <c:axId val="85617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15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Paid Subscribers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Subscribers"</c:f>
              <c:strCache>
                <c:ptCount val="1"/>
                <c:pt idx="0">
                  <c:v>Total Subscribers</c:v>
                </c:pt>
              </c:strCache>
            </c:strRef>
          </c:tx>
          <c:spPr>
            <a:solidFill>
              <a:srgbClr val="e50914"/>
            </a:solidFill>
            <a:ln w="24840">
              <a:solidFill>
                <a:srgbClr val="e5091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Charts!$J$5:$N$5</c:f>
              <c:numCache>
                <c:formatCode>General</c:formatCode>
                <c:ptCount val="5"/>
                <c:pt idx="0">
                  <c:v>188.8</c:v>
                </c:pt>
                <c:pt idx="1">
                  <c:v>207.9</c:v>
                </c:pt>
                <c:pt idx="2">
                  <c:v>225.8</c:v>
                </c:pt>
                <c:pt idx="3">
                  <c:v>253.9</c:v>
                </c:pt>
                <c:pt idx="4">
                  <c:v>297.9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195792"/>
        <c:axId val="45867238"/>
      </c:lineChart>
      <c:catAx>
        <c:axId val="561957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67238"/>
        <c:crosses val="autoZero"/>
        <c:auto val="1"/>
        <c:lblAlgn val="ctr"/>
        <c:lblOffset val="100"/>
        <c:noMultiLvlLbl val="0"/>
      </c:catAx>
      <c:valAx>
        <c:axId val="45867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Subscribers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95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"Operating Margin"</c:f>
              <c:strCache>
                <c:ptCount val="1"/>
                <c:pt idx="0">
                  <c:v>Operating Margin</c:v>
                </c:pt>
              </c:strCache>
            </c:strRef>
          </c:tx>
          <c:spPr>
            <a:solidFill>
              <a:srgbClr val="e5091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FY2024</c:v>
                  </c:pt>
                </c:lvl>
                <c:lvl>
                  <c:pt idx="0">
                    <c:v>FY2023</c:v>
                  </c:pt>
                </c:lvl>
                <c:lvl>
                  <c:pt idx="0">
                    <c:v>FY2022</c:v>
                  </c:pt>
                </c:lvl>
                <c:lvl>
                  <c:pt idx="0">
                    <c:v>FY2021</c:v>
                  </c:pt>
                </c:lvl>
                <c:lvl>
                  <c:pt idx="0">
                    <c:v>FY2020</c:v>
                  </c:pt>
                </c:lvl>
              </c:multiLvlStrCache>
            </c:multiLvlStrRef>
          </c:cat>
          <c:val>
            <c:numRef>
              <c:f>Charts!$J$6:$N$6</c:f>
              <c:numCache>
                <c:formatCode>General</c:formatCode>
                <c:ptCount val="5"/>
                <c:pt idx="0">
                  <c:v>0.1834</c:v>
                </c:pt>
                <c:pt idx="1">
                  <c:v>0.2086</c:v>
                </c:pt>
                <c:pt idx="2">
                  <c:v>0.1782</c:v>
                </c:pt>
                <c:pt idx="3">
                  <c:v>0.2062</c:v>
                </c:pt>
                <c:pt idx="4">
                  <c:v>0.2671</c:v>
                </c:pt>
              </c:numCache>
            </c:numRef>
          </c:val>
        </c:ser>
        <c:gapWidth val="150"/>
        <c:overlap val="0"/>
        <c:axId val="16097524"/>
        <c:axId val="61461045"/>
      </c:barChart>
      <c:catAx>
        <c:axId val="16097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61045"/>
        <c:crosses val="autoZero"/>
        <c:auto val="1"/>
        <c:lblAlgn val="ctr"/>
        <c:lblOffset val="100"/>
        <c:noMultiLvlLbl val="0"/>
      </c:catAx>
      <c:valAx>
        <c:axId val="61461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975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580680</xdr:colOff>
      <xdr:row>28</xdr:row>
      <xdr:rowOff>86040</xdr:rowOff>
    </xdr:to>
    <xdr:graphicFrame>
      <xdr:nvGraphicFramePr>
        <xdr:cNvPr id="0" name="Chart 1"/>
        <xdr:cNvGraphicFramePr/>
      </xdr:nvGraphicFramePr>
      <xdr:xfrm>
        <a:off x="0" y="54288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581040</xdr:colOff>
      <xdr:row>28</xdr:row>
      <xdr:rowOff>86040</xdr:rowOff>
    </xdr:to>
    <xdr:graphicFrame>
      <xdr:nvGraphicFramePr>
        <xdr:cNvPr id="1" name="Chart 2"/>
        <xdr:cNvGraphicFramePr/>
      </xdr:nvGraphicFramePr>
      <xdr:xfrm>
        <a:off x="5503680" y="54288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12</xdr:col>
      <xdr:colOff>580680</xdr:colOff>
      <xdr:row>46</xdr:row>
      <xdr:rowOff>86040</xdr:rowOff>
    </xdr:to>
    <xdr:graphicFrame>
      <xdr:nvGraphicFramePr>
        <xdr:cNvPr id="2" name="Chart 3"/>
        <xdr:cNvGraphicFramePr/>
      </xdr:nvGraphicFramePr>
      <xdr:xfrm>
        <a:off x="0" y="397188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0710"/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  <col collapsed="false" customWidth="true" hidden="false" outlineLevel="0" max="8" min="8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</row>
    <row r="5" customFormat="false" ht="18" hidden="false" customHeight="true" outlineLevel="0" collapsed="false">
      <c r="A5" s="7" t="s">
        <v>8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true" outlineLevel="0" collapsed="false">
      <c r="A6" s="8" t="s">
        <v>9</v>
      </c>
      <c r="B6" s="9" t="n">
        <v>24996056</v>
      </c>
      <c r="C6" s="9" t="n">
        <v>29697844</v>
      </c>
      <c r="D6" s="9" t="n">
        <v>31615550</v>
      </c>
      <c r="E6" s="9" t="n">
        <v>33723297</v>
      </c>
      <c r="F6" s="9" t="n">
        <v>39000966</v>
      </c>
      <c r="G6" s="10" t="n">
        <f aca="false">(F6/B6)^(1/4)-1</f>
        <v>0.117637509182117</v>
      </c>
    </row>
    <row r="7" customFormat="false" ht="15" hidden="false" customHeight="true" outlineLevel="0" collapsed="false">
      <c r="A7" s="11" t="s">
        <v>10</v>
      </c>
      <c r="B7" s="12" t="n">
        <v>4585289</v>
      </c>
      <c r="C7" s="12" t="n">
        <v>6194509</v>
      </c>
      <c r="D7" s="12" t="n">
        <v>5632831</v>
      </c>
      <c r="E7" s="12" t="n">
        <v>6954003</v>
      </c>
      <c r="F7" s="12" t="n">
        <v>10417614</v>
      </c>
      <c r="G7" s="10" t="n">
        <f aca="false">(F7/B7)^(1/4)-1</f>
        <v>0.227722986200927</v>
      </c>
    </row>
    <row r="8" customFormat="false" ht="15" hidden="false" customHeight="true" outlineLevel="0" collapsed="false">
      <c r="A8" s="11" t="s">
        <v>11</v>
      </c>
      <c r="B8" s="12" t="n">
        <v>2761395</v>
      </c>
      <c r="C8" s="12" t="n">
        <v>5116228</v>
      </c>
      <c r="D8" s="12" t="n">
        <v>4491924</v>
      </c>
      <c r="E8" s="12" t="n">
        <v>5407990</v>
      </c>
      <c r="F8" s="12" t="n">
        <v>7776035</v>
      </c>
      <c r="G8" s="10" t="n">
        <f aca="false">(F8/B8)^(1/4)-1</f>
        <v>0.295410515545308</v>
      </c>
    </row>
    <row r="9" customFormat="false" ht="15" hidden="false" customHeight="true" outlineLevel="0" collapsed="false">
      <c r="A9" s="13" t="s">
        <v>12</v>
      </c>
      <c r="B9" s="14" t="n">
        <v>12440000</v>
      </c>
      <c r="C9" s="14" t="n">
        <v>17700000</v>
      </c>
      <c r="D9" s="14" t="n">
        <v>17839000</v>
      </c>
      <c r="E9" s="14" t="n">
        <v>13000000</v>
      </c>
      <c r="F9" s="14" t="n">
        <v>17700000</v>
      </c>
      <c r="G9" s="10" t="n">
        <f aca="false">(F9/B9)^(1/4)-1</f>
        <v>0.0921649161847105</v>
      </c>
    </row>
    <row r="10" customFormat="false" ht="15" hidden="false" customHeight="true" outlineLevel="0" collapsed="false">
      <c r="A10" s="15" t="s">
        <v>13</v>
      </c>
      <c r="B10" s="14" t="n">
        <v>2228362</v>
      </c>
      <c r="C10" s="14" t="n">
        <v>2545146</v>
      </c>
      <c r="D10" s="14" t="n">
        <v>2530502</v>
      </c>
      <c r="E10" s="14" t="n">
        <v>2657883</v>
      </c>
      <c r="F10" s="14" t="n">
        <v>2682781</v>
      </c>
      <c r="G10" s="10" t="n">
        <f aca="false">(F10/B10)^(1/4)-1</f>
        <v>0.0474899611703907</v>
      </c>
    </row>
    <row r="11" customFormat="false" ht="15" hidden="false" customHeight="true" outlineLevel="0" collapsed="false">
      <c r="A11" s="13" t="s">
        <v>14</v>
      </c>
      <c r="B11" s="14" t="n">
        <v>1829600</v>
      </c>
      <c r="C11" s="14" t="n">
        <v>2273885</v>
      </c>
      <c r="D11" s="14" t="n">
        <v>2711041</v>
      </c>
      <c r="E11" s="14" t="n">
        <v>2675758</v>
      </c>
      <c r="F11" s="14" t="n">
        <v>2946920</v>
      </c>
      <c r="G11" s="10" t="n">
        <f aca="false">(F11/B11)^(1/4)-1</f>
        <v>0.126556684047476</v>
      </c>
    </row>
    <row r="12" customFormat="false" ht="15" hidden="false" customHeight="true" outlineLevel="0" collapsed="false">
      <c r="A12" s="15" t="s">
        <v>15</v>
      </c>
      <c r="B12" s="14" t="n">
        <v>914369</v>
      </c>
      <c r="C12" s="14" t="n">
        <v>1351621</v>
      </c>
      <c r="D12" s="14" t="n">
        <v>1572891</v>
      </c>
      <c r="E12" s="14" t="n">
        <v>1720285</v>
      </c>
      <c r="F12" s="14" t="n">
        <v>1949028</v>
      </c>
      <c r="G12" s="10" t="n">
        <f aca="false">(F12/B12)^(1/4)-1</f>
        <v>0.208298249068211</v>
      </c>
    </row>
    <row r="14" customFormat="false" ht="18" hidden="false" customHeight="true" outlineLevel="0" collapsed="false">
      <c r="A14" s="7" t="s">
        <v>16</v>
      </c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true" outlineLevel="0" collapsed="false">
      <c r="A15" s="11" t="s">
        <v>17</v>
      </c>
      <c r="B15" s="16" t="n">
        <v>0.1834</v>
      </c>
      <c r="C15" s="16" t="n">
        <v>0.2086</v>
      </c>
      <c r="D15" s="16" t="n">
        <v>0.1782</v>
      </c>
      <c r="E15" s="16" t="n">
        <v>0.2062</v>
      </c>
      <c r="F15" s="16" t="n">
        <v>0.2671</v>
      </c>
      <c r="G15" s="17"/>
    </row>
    <row r="16" customFormat="false" ht="15" hidden="false" customHeight="true" outlineLevel="0" collapsed="false">
      <c r="A16" s="11" t="s">
        <v>18</v>
      </c>
      <c r="B16" s="16" t="n">
        <v>0.1105</v>
      </c>
      <c r="C16" s="16" t="n">
        <v>0.1723</v>
      </c>
      <c r="D16" s="16" t="n">
        <v>0.1421</v>
      </c>
      <c r="E16" s="16" t="n">
        <v>0.1604</v>
      </c>
      <c r="F16" s="16" t="n">
        <v>0.1994</v>
      </c>
      <c r="G16" s="17"/>
    </row>
    <row r="17" customFormat="false" ht="15" hidden="false" customHeight="true" outlineLevel="0" collapsed="false">
      <c r="A17" s="18" t="s">
        <v>19</v>
      </c>
      <c r="B17" s="19" t="n">
        <v>0.4977</v>
      </c>
      <c r="C17" s="19" t="n">
        <v>0.596</v>
      </c>
      <c r="D17" s="19" t="n">
        <v>0.5642</v>
      </c>
      <c r="E17" s="19" t="n">
        <v>0.3855</v>
      </c>
      <c r="F17" s="19" t="n">
        <v>0.4538</v>
      </c>
      <c r="G17" s="20"/>
    </row>
    <row r="18" customFormat="false" ht="15" hidden="false" customHeight="true" outlineLevel="0" collapsed="false">
      <c r="A18" s="18" t="s">
        <v>20</v>
      </c>
      <c r="B18" s="19" t="n">
        <v>0.0891</v>
      </c>
      <c r="C18" s="19" t="n">
        <v>0.0857</v>
      </c>
      <c r="D18" s="19" t="n">
        <v>0.08</v>
      </c>
      <c r="E18" s="19" t="n">
        <v>0.0788</v>
      </c>
      <c r="F18" s="19" t="n">
        <v>0.0688</v>
      </c>
      <c r="G18" s="20"/>
    </row>
    <row r="20" customFormat="false" ht="18" hidden="false" customHeight="true" outlineLevel="0" collapsed="false">
      <c r="A20" s="7" t="s">
        <v>21</v>
      </c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true" outlineLevel="0" collapsed="false">
      <c r="A21" s="21" t="s">
        <v>22</v>
      </c>
      <c r="B21" s="22"/>
      <c r="C21" s="22" t="n">
        <v>0.1881</v>
      </c>
      <c r="D21" s="22" t="n">
        <v>0.0646</v>
      </c>
      <c r="E21" s="22" t="n">
        <v>0.0667</v>
      </c>
      <c r="F21" s="22" t="n">
        <v>0.1565</v>
      </c>
      <c r="G21" s="17"/>
    </row>
    <row r="22" customFormat="false" ht="15" hidden="false" customHeight="true" outlineLevel="0" collapsed="false">
      <c r="A22" s="21" t="s">
        <v>23</v>
      </c>
      <c r="B22" s="22"/>
      <c r="C22" s="22" t="n">
        <v>0.351</v>
      </c>
      <c r="D22" s="22" t="n">
        <v>-0.0907</v>
      </c>
      <c r="E22" s="22" t="n">
        <v>0.2345</v>
      </c>
      <c r="F22" s="22" t="n">
        <v>0.4981</v>
      </c>
      <c r="G22" s="17"/>
    </row>
    <row r="23" customFormat="false" ht="15" hidden="false" customHeight="true" outlineLevel="0" collapsed="false">
      <c r="A23" s="23" t="s">
        <v>24</v>
      </c>
      <c r="B23" s="24"/>
      <c r="C23" s="24" t="n">
        <v>0.1016</v>
      </c>
      <c r="D23" s="24" t="n">
        <v>0.0859</v>
      </c>
      <c r="E23" s="24" t="n">
        <v>0.1244</v>
      </c>
      <c r="F23" s="24" t="n">
        <v>0.1733</v>
      </c>
      <c r="G23" s="25"/>
    </row>
  </sheetData>
  <mergeCells count="5">
    <mergeCell ref="A1:H1"/>
    <mergeCell ref="A2:H2"/>
    <mergeCell ref="A5:I5"/>
    <mergeCell ref="A14:I14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0914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3"/>
    <col collapsed="false" customWidth="true" hidden="false" outlineLevel="0" max="8" min="8" style="1" width="12"/>
  </cols>
  <sheetData>
    <row r="1" customFormat="false" ht="30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26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27</v>
      </c>
    </row>
    <row r="5" customFormat="false" ht="18" hidden="false" customHeight="true" outlineLevel="0" collapsed="false">
      <c r="A5" s="7" t="s">
        <v>28</v>
      </c>
      <c r="B5" s="7"/>
      <c r="C5" s="7"/>
      <c r="D5" s="7"/>
      <c r="E5" s="7"/>
      <c r="F5" s="7"/>
      <c r="G5" s="7"/>
      <c r="H5" s="7"/>
      <c r="I5" s="7"/>
    </row>
    <row r="6" customFormat="false" ht="15" hidden="false" customHeight="true" outlineLevel="0" collapsed="false">
      <c r="A6" s="26" t="s">
        <v>29</v>
      </c>
      <c r="B6" s="27" t="n">
        <v>73.94</v>
      </c>
      <c r="C6" s="27" t="n">
        <v>75.22</v>
      </c>
      <c r="D6" s="27" t="n">
        <v>74.3</v>
      </c>
      <c r="E6" s="27" t="n">
        <v>80.13</v>
      </c>
      <c r="F6" s="27" t="n">
        <v>94.36</v>
      </c>
      <c r="G6" s="10" t="n">
        <f aca="false">(F6/B6)^(1/4)-1</f>
        <v>0.0628625905114417</v>
      </c>
    </row>
    <row r="7" customFormat="false" ht="15" hidden="false" customHeight="true" outlineLevel="0" collapsed="false">
      <c r="A7" s="28" t="s">
        <v>30</v>
      </c>
      <c r="B7" s="27" t="n">
        <v>51.78</v>
      </c>
      <c r="C7" s="27" t="n">
        <v>59.73</v>
      </c>
      <c r="D7" s="27" t="n">
        <v>73.53</v>
      </c>
      <c r="E7" s="27" t="n">
        <v>88.81</v>
      </c>
      <c r="F7" s="27" t="n">
        <v>99.68</v>
      </c>
      <c r="G7" s="10" t="n">
        <f aca="false">(F7/B7)^(1/4)-1</f>
        <v>0.177908337436971</v>
      </c>
    </row>
    <row r="8" customFormat="false" ht="15" hidden="false" customHeight="true" outlineLevel="0" collapsed="false">
      <c r="A8" s="29" t="s">
        <v>31</v>
      </c>
      <c r="B8" s="27" t="n">
        <v>37.54</v>
      </c>
      <c r="C8" s="27" t="n">
        <v>40.28</v>
      </c>
      <c r="D8" s="27" t="n">
        <v>39.94</v>
      </c>
      <c r="E8" s="27" t="n">
        <v>42.5</v>
      </c>
      <c r="F8" s="27" t="n">
        <v>49.37</v>
      </c>
      <c r="G8" s="10" t="n">
        <f aca="false">(F8/B8)^(1/4)-1</f>
        <v>0.0708834695582001</v>
      </c>
    </row>
    <row r="9" customFormat="false" ht="15" hidden="false" customHeight="true" outlineLevel="0" collapsed="false">
      <c r="A9" s="30" t="s">
        <v>32</v>
      </c>
      <c r="B9" s="27" t="n">
        <v>25.49</v>
      </c>
      <c r="C9" s="27" t="n">
        <v>32.69</v>
      </c>
      <c r="D9" s="27" t="n">
        <v>38.02</v>
      </c>
      <c r="E9" s="27" t="n">
        <v>42.43</v>
      </c>
      <c r="F9" s="27" t="n">
        <v>54.45</v>
      </c>
      <c r="G9" s="10" t="n">
        <f aca="false">(F9/B9)^(1/4)-1</f>
        <v>0.208946304805548</v>
      </c>
    </row>
    <row r="10" customFormat="false" ht="15" hidden="false" customHeight="true" outlineLevel="0" collapsed="false">
      <c r="A10" s="31" t="s">
        <v>33</v>
      </c>
      <c r="B10" s="32" t="n">
        <v>188.75</v>
      </c>
      <c r="C10" s="32" t="n">
        <v>207.92</v>
      </c>
      <c r="D10" s="32" t="n">
        <v>225.79</v>
      </c>
      <c r="E10" s="32" t="n">
        <v>253.87</v>
      </c>
      <c r="F10" s="32" t="n">
        <v>297.86</v>
      </c>
      <c r="G10" s="33" t="n">
        <f aca="false">(F10/B10)^(1/4)-1</f>
        <v>0.120808216941619</v>
      </c>
    </row>
    <row r="12" customFormat="false" ht="18" hidden="false" customHeight="true" outlineLevel="0" collapsed="false">
      <c r="A12" s="7" t="s">
        <v>34</v>
      </c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true" outlineLevel="0" collapsed="false">
      <c r="A13" s="34" t="s">
        <v>35</v>
      </c>
      <c r="B13" s="35" t="n">
        <v>14.16</v>
      </c>
      <c r="C13" s="35" t="n">
        <v>14.78</v>
      </c>
      <c r="D13" s="35" t="n">
        <v>15.84</v>
      </c>
      <c r="E13" s="35" t="n">
        <v>16.29</v>
      </c>
      <c r="F13" s="35" t="n">
        <v>17.29</v>
      </c>
      <c r="G13" s="36"/>
    </row>
    <row r="14" customFormat="false" ht="15" hidden="false" customHeight="true" outlineLevel="0" collapsed="false">
      <c r="A14" s="37" t="s">
        <v>36</v>
      </c>
      <c r="B14" s="35" t="n">
        <v>10.69</v>
      </c>
      <c r="C14" s="35" t="n">
        <v>10.63</v>
      </c>
      <c r="D14" s="35" t="n">
        <v>11.24</v>
      </c>
      <c r="E14" s="35" t="n">
        <v>10.95</v>
      </c>
      <c r="F14" s="35" t="n">
        <v>10.62</v>
      </c>
      <c r="G14" s="38"/>
    </row>
    <row r="15" customFormat="false" ht="15" hidden="false" customHeight="true" outlineLevel="0" collapsed="false">
      <c r="A15" s="39" t="s">
        <v>37</v>
      </c>
      <c r="B15" s="35" t="n">
        <v>7.26</v>
      </c>
      <c r="C15" s="35" t="n">
        <v>7.22</v>
      </c>
      <c r="D15" s="35" t="n">
        <v>8.16</v>
      </c>
      <c r="E15" s="35" t="n">
        <v>8.28</v>
      </c>
      <c r="F15" s="35" t="n">
        <v>7.21</v>
      </c>
      <c r="G15" s="36"/>
    </row>
    <row r="16" customFormat="false" ht="15" hidden="false" customHeight="true" outlineLevel="0" collapsed="false">
      <c r="A16" s="40" t="s">
        <v>38</v>
      </c>
      <c r="B16" s="35" t="n">
        <v>9.28</v>
      </c>
      <c r="C16" s="35" t="n">
        <v>9.55</v>
      </c>
      <c r="D16" s="35" t="n">
        <v>9.67</v>
      </c>
      <c r="E16" s="35" t="n">
        <v>7.64</v>
      </c>
      <c r="F16" s="35" t="n">
        <v>8.08</v>
      </c>
      <c r="G16" s="38"/>
    </row>
    <row r="18" customFormat="false" ht="18" hidden="false" customHeight="true" outlineLevel="0" collapsed="false">
      <c r="A18" s="7" t="s">
        <v>39</v>
      </c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true" outlineLevel="0" collapsed="false">
      <c r="A19" s="41" t="s">
        <v>40</v>
      </c>
      <c r="B19" s="42" t="n">
        <v>0.3917</v>
      </c>
      <c r="C19" s="42" t="n">
        <v>0.3618</v>
      </c>
      <c r="D19" s="42" t="n">
        <v>0.3291</v>
      </c>
      <c r="E19" s="42" t="n">
        <v>0.3156</v>
      </c>
      <c r="F19" s="42" t="n">
        <v>0.3168</v>
      </c>
      <c r="G19" s="25"/>
    </row>
    <row r="20" customFormat="false" ht="15" hidden="false" customHeight="true" outlineLevel="0" collapsed="false">
      <c r="A20" s="37" t="s">
        <v>41</v>
      </c>
      <c r="B20" s="43" t="n">
        <v>0.2743</v>
      </c>
      <c r="C20" s="43" t="n">
        <v>0.2873</v>
      </c>
      <c r="D20" s="43" t="n">
        <v>0.3257</v>
      </c>
      <c r="E20" s="43" t="n">
        <v>0.3498</v>
      </c>
      <c r="F20" s="43" t="n">
        <v>0.3347</v>
      </c>
      <c r="G20" s="38"/>
    </row>
    <row r="21" customFormat="false" ht="15" hidden="false" customHeight="true" outlineLevel="0" collapsed="false">
      <c r="A21" s="44" t="s">
        <v>42</v>
      </c>
      <c r="B21" s="42" t="n">
        <v>0.1989</v>
      </c>
      <c r="C21" s="42" t="n">
        <v>0.1937</v>
      </c>
      <c r="D21" s="42" t="n">
        <v>0.1769</v>
      </c>
      <c r="E21" s="42" t="n">
        <v>0.1674</v>
      </c>
      <c r="F21" s="42" t="n">
        <v>0.1657</v>
      </c>
      <c r="G21" s="25"/>
    </row>
    <row r="22" customFormat="false" ht="15" hidden="false" customHeight="true" outlineLevel="0" collapsed="false">
      <c r="A22" s="40" t="s">
        <v>43</v>
      </c>
      <c r="B22" s="43" t="n">
        <v>0.135</v>
      </c>
      <c r="C22" s="43" t="n">
        <v>0.1572</v>
      </c>
      <c r="D22" s="43" t="n">
        <v>0.1684</v>
      </c>
      <c r="E22" s="43" t="n">
        <v>0.1671</v>
      </c>
      <c r="F22" s="43" t="n">
        <v>0.1828</v>
      </c>
      <c r="G22" s="38"/>
    </row>
    <row r="24" customFormat="false" ht="18" hidden="false" customHeight="true" outlineLevel="0" collapsed="false">
      <c r="A24" s="45" t="s">
        <v>44</v>
      </c>
      <c r="B24" s="45"/>
      <c r="C24" s="45"/>
      <c r="D24" s="45"/>
      <c r="E24" s="45"/>
      <c r="F24" s="45"/>
      <c r="G24" s="45"/>
      <c r="H24" s="45"/>
      <c r="I24" s="45"/>
    </row>
    <row r="25" customFormat="false" ht="15" hidden="false" customHeight="true" outlineLevel="0" collapsed="false">
      <c r="A25" s="46" t="s">
        <v>45</v>
      </c>
      <c r="B25" s="46"/>
      <c r="C25" s="46"/>
      <c r="D25" s="46"/>
      <c r="E25" s="47" t="n">
        <f aca="false">F10</f>
        <v>297.86</v>
      </c>
      <c r="F25" s="47"/>
      <c r="G25" s="47"/>
      <c r="H25" s="47"/>
    </row>
    <row r="26" customFormat="false" ht="15" hidden="false" customHeight="true" outlineLevel="0" collapsed="false">
      <c r="A26" s="48" t="s">
        <v>46</v>
      </c>
      <c r="B26" s="48"/>
      <c r="C26" s="48"/>
      <c r="D26" s="48"/>
      <c r="E26" s="49" t="n">
        <f aca="false">(F10-E10)/E10</f>
        <v>0.173277661795407</v>
      </c>
      <c r="F26" s="49"/>
      <c r="G26" s="49"/>
      <c r="H26" s="49"/>
    </row>
    <row r="27" customFormat="false" ht="15" hidden="false" customHeight="true" outlineLevel="0" collapsed="false">
      <c r="A27" s="46" t="s">
        <v>47</v>
      </c>
      <c r="B27" s="46"/>
      <c r="C27" s="46"/>
      <c r="D27" s="46"/>
      <c r="E27" s="50" t="n">
        <v>39.001</v>
      </c>
      <c r="F27" s="50"/>
      <c r="G27" s="50"/>
      <c r="H27" s="50"/>
    </row>
    <row r="28" customFormat="false" ht="15" hidden="false" customHeight="true" outlineLevel="0" collapsed="false">
      <c r="A28" s="48" t="s">
        <v>48</v>
      </c>
      <c r="B28" s="48"/>
      <c r="C28" s="48"/>
      <c r="D28" s="48"/>
      <c r="E28" s="51" t="n">
        <v>10.4176</v>
      </c>
      <c r="F28" s="51"/>
      <c r="G28" s="51"/>
      <c r="H28" s="51"/>
    </row>
    <row r="29" customFormat="false" ht="15" hidden="false" customHeight="true" outlineLevel="0" collapsed="false">
      <c r="A29" s="46" t="s">
        <v>49</v>
      </c>
      <c r="B29" s="46"/>
      <c r="C29" s="46"/>
      <c r="D29" s="46"/>
      <c r="E29" s="52" t="n">
        <v>0.2671</v>
      </c>
      <c r="F29" s="52"/>
      <c r="G29" s="52"/>
      <c r="H29" s="52"/>
    </row>
    <row r="30" customFormat="false" ht="15" hidden="false" customHeight="true" outlineLevel="0" collapsed="false">
      <c r="A30" s="48" t="s">
        <v>50</v>
      </c>
      <c r="B30" s="48"/>
      <c r="C30" s="48"/>
      <c r="D30" s="48"/>
      <c r="E30" s="53" t="n">
        <v>0.1176</v>
      </c>
      <c r="F30" s="53"/>
      <c r="G30" s="53"/>
      <c r="H30" s="53"/>
    </row>
    <row r="31" customFormat="false" ht="15" hidden="false" customHeight="true" outlineLevel="0" collapsed="false">
      <c r="A31" s="46" t="s">
        <v>51</v>
      </c>
      <c r="B31" s="46"/>
      <c r="C31" s="46"/>
      <c r="D31" s="46"/>
      <c r="E31" s="54" t="n">
        <f aca="false">(F10/B10)^(1/4)-1</f>
        <v>0.120808216941619</v>
      </c>
      <c r="F31" s="54"/>
      <c r="G31" s="54"/>
      <c r="H31" s="54"/>
    </row>
    <row r="32" customFormat="false" ht="15" hidden="false" customHeight="true" outlineLevel="0" collapsed="false">
      <c r="A32" s="48" t="s">
        <v>52</v>
      </c>
      <c r="B32" s="48"/>
      <c r="C32" s="48"/>
      <c r="D32" s="48"/>
      <c r="E32" s="55" t="s">
        <v>53</v>
      </c>
      <c r="F32" s="55"/>
      <c r="G32" s="55"/>
      <c r="H32" s="55"/>
    </row>
    <row r="33" customFormat="false" ht="15" hidden="false" customHeight="true" outlineLevel="0" collapsed="false">
      <c r="A33" s="46" t="s">
        <v>54</v>
      </c>
      <c r="B33" s="46"/>
      <c r="C33" s="46"/>
      <c r="D33" s="46"/>
      <c r="E33" s="56" t="s">
        <v>55</v>
      </c>
      <c r="F33" s="56"/>
      <c r="G33" s="56"/>
      <c r="H33" s="56"/>
    </row>
  </sheetData>
  <mergeCells count="24">
    <mergeCell ref="A1:H1"/>
    <mergeCell ref="A2:H2"/>
    <mergeCell ref="A5:I5"/>
    <mergeCell ref="A12:I12"/>
    <mergeCell ref="A18:I18"/>
    <mergeCell ref="A24:I24"/>
    <mergeCell ref="A25:D25"/>
    <mergeCell ref="E25:H25"/>
    <mergeCell ref="A26:D26"/>
    <mergeCell ref="E26:H26"/>
    <mergeCell ref="A27:D27"/>
    <mergeCell ref="E27:H27"/>
    <mergeCell ref="A28:D28"/>
    <mergeCell ref="E28:H28"/>
    <mergeCell ref="A29:D29"/>
    <mergeCell ref="E29:H29"/>
    <mergeCell ref="A30:D30"/>
    <mergeCell ref="E30:H30"/>
    <mergeCell ref="A31:D31"/>
    <mergeCell ref="E31:H31"/>
    <mergeCell ref="A32:D32"/>
    <mergeCell ref="E32:H32"/>
    <mergeCell ref="A33:D33"/>
    <mergeCell ref="E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I2" s="1" t="s">
        <v>57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</row>
    <row r="3" customFormat="false" ht="15" hidden="false" customHeight="true" outlineLevel="0" collapsed="false">
      <c r="J3" s="1" t="n">
        <v>25</v>
      </c>
      <c r="K3" s="1" t="n">
        <v>29.7</v>
      </c>
      <c r="L3" s="1" t="n">
        <v>31.62</v>
      </c>
      <c r="M3" s="1" t="n">
        <v>33.72</v>
      </c>
      <c r="N3" s="1" t="n">
        <v>39</v>
      </c>
    </row>
    <row r="4" customFormat="false" ht="15" hidden="false" customHeight="true" outlineLevel="0" collapsed="false">
      <c r="J4" s="1" t="n">
        <v>4.59</v>
      </c>
      <c r="K4" s="1" t="n">
        <v>6.19</v>
      </c>
      <c r="L4" s="1" t="n">
        <v>5.63</v>
      </c>
      <c r="M4" s="1" t="n">
        <v>6.95</v>
      </c>
      <c r="N4" s="1" t="n">
        <v>10.42</v>
      </c>
    </row>
    <row r="5" customFormat="false" ht="15" hidden="false" customHeight="true" outlineLevel="0" collapsed="false">
      <c r="J5" s="1" t="n">
        <v>188.8</v>
      </c>
      <c r="K5" s="1" t="n">
        <v>207.9</v>
      </c>
      <c r="L5" s="1" t="n">
        <v>225.8</v>
      </c>
      <c r="M5" s="1" t="n">
        <v>253.9</v>
      </c>
      <c r="N5" s="1" t="n">
        <v>297.9</v>
      </c>
    </row>
    <row r="6" customFormat="false" ht="15" hidden="false" customHeight="true" outlineLevel="0" collapsed="false">
      <c r="J6" s="1" t="n">
        <v>0.1834</v>
      </c>
      <c r="K6" s="1" t="n">
        <v>0.2086</v>
      </c>
      <c r="L6" s="1" t="n">
        <v>0.1782</v>
      </c>
      <c r="M6" s="1" t="n">
        <v>0.2062</v>
      </c>
      <c r="N6" s="1" t="n">
        <v>0.2671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2026-06-12T05:23:29Z</dcterms:created>
  <dc:creator>openpyxl</dc:creator>
  <dc:description/>
  <dc:language>en-US</dc:language>
  <cp:lastModifiedBy/>
  <dcterms:modified xsi:type="dcterms:W3CDTF">2026-06-12T05:28:18Z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