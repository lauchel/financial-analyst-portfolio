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pEx Timeline" sheetId="2" state="visible" r:id="rId4"/>
    <sheet name="Cash Flow &amp; Returns" sheetId="3" state="visible" r:id="rId5"/>
    <sheet name="Sensitivity" sheetId="4" state="visible" r:id="rId6"/>
    <sheet name="Executive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<sst xmlns="http://schemas.openxmlformats.org/spreadsheetml/2006/main" count="101" uniqueCount="86">
  <si>
    <t xml:space="preserve">Data Center Capital Project Investment Model</t>
  </si>
  <si>
    <t xml:space="preserve">Sourced from Digital Realty Trust (DLR) FY2025 / Q4 2025 public disclosures; applied to a hypothetical 50 MW development</t>
  </si>
  <si>
    <t xml:space="preserve">Development &amp; Market Assumptions</t>
  </si>
  <si>
    <t xml:space="preserve">Project size (MW, IT load)</t>
  </si>
  <si>
    <t xml:space="preserve">Source: Illustrative project sized against DLR's disclosed development pipeline</t>
  </si>
  <si>
    <t xml:space="preserve">Development cost per MW</t>
  </si>
  <si>
    <t xml:space="preserve">Source: Source: DLR Q4 2025 results, $10.0B gross development pipeline value / 769 MW underway</t>
  </si>
  <si>
    <t xml:space="preserve">Total development CapEx</t>
  </si>
  <si>
    <t xml:space="preserve">Source: Calculated: Project size x cost per MW</t>
  </si>
  <si>
    <t xml:space="preserve">Construction period (months)</t>
  </si>
  <si>
    <t xml:space="preserve">Source: Source: DLR Q4 2025 supplemental, typical hyperscale build cycle disclosed in pipeline commentary</t>
  </si>
  <si>
    <t xml:space="preserve">Pre-lease at delivery</t>
  </si>
  <si>
    <t xml:space="preserve">Source: Source: DLR Q4 2025 results, 75% of Q4 deliveries were pre-leased</t>
  </si>
  <si>
    <t xml:space="preserve">Expected stabilized yield on cost</t>
  </si>
  <si>
    <t xml:space="preserve">Source: Source: DLR Q4 2025 results, 11.9% expected stabilized yield on $10B pipeline</t>
  </si>
  <si>
    <t xml:space="preserve">Months to full stabilization post-delivery</t>
  </si>
  <si>
    <t xml:space="preserve">Source: Illustrative lease-up ramp consistent with DLR disclosed absorption pace</t>
  </si>
  <si>
    <t xml:space="preserve">Target leverage (net debt / EBITDA)</t>
  </si>
  <si>
    <t xml:space="preserve">Source: Source: DLR Q4 2025 results, long-term target leverage of 5.5x (actual 4.9x at YE2025)</t>
  </si>
  <si>
    <t xml:space="preserve">Assumed loan-to-cost (debt financing)</t>
  </si>
  <si>
    <t xml:space="preserve">Source: Modeling assumption consistent with target leverage; adjust in sensitivity tab</t>
  </si>
  <si>
    <t xml:space="preserve">Assumed cost of debt (rate)</t>
  </si>
  <si>
    <t xml:space="preserve">Source: General market assumption for investment-grade REIT secured/unsecured debt; confirm against live pricing before use</t>
  </si>
  <si>
    <t xml:space="preserve">Discount rate / cost of capital (WACC)</t>
  </si>
  <si>
    <t xml:space="preserve">Source: General market assumption for data center development risk; confirm against live pricing before use</t>
  </si>
  <si>
    <t xml:space="preserve">Exit / stabilized cap rate</t>
  </si>
  <si>
    <t xml:space="preserve">Source: General market assumption for stabilized hyperscale data center assets; confirm before use</t>
  </si>
  <si>
    <t xml:space="preserve">Hold period (years, post-stabilization)</t>
  </si>
  <si>
    <t xml:space="preserve">Source: Illustrative hold period for return calculation</t>
  </si>
  <si>
    <t xml:space="preserve">Note: cells in blue are inputs. Cells flagged with a note are general market assumptions, not company-sourced, and should be confirmed before external use.</t>
  </si>
  <si>
    <t xml:space="preserve">Construction CapEx Phasing (Months 1-24)</t>
  </si>
  <si>
    <t xml:space="preserve">Month</t>
  </si>
  <si>
    <t xml:space="preserve">% of CapEx spent (S-curve)</t>
  </si>
  <si>
    <t xml:space="preserve">CapEx spent ($)</t>
  </si>
  <si>
    <t xml:space="preserve">Cumulative CapEx ($)</t>
  </si>
  <si>
    <t xml:space="preserve">Total development CapEx (check)</t>
  </si>
  <si>
    <t xml:space="preserve">should equal Assumptions total CapEx</t>
  </si>
  <si>
    <t xml:space="preserve">Annual Cash Flow, Yield Build &amp; Returns (Years 0-6)</t>
  </si>
  <si>
    <t xml:space="preserve">Year</t>
  </si>
  <si>
    <t xml:space="preserve">Yr 0 (Construction)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</si>
  <si>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</si>
  <si>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</si>
  <si>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</si>
  <si>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</si>
  <si>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</si>
  <si>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 (Exit)</t>
  </si>
  <si>
    <t xml:space="preserve">Development CapEx</t>
  </si>
  <si>
    <t xml:space="preserve">Stabilized NOI (at full yield on cost)</t>
  </si>
  <si>
    <t xml:space="preserve">Lease-up ramp (% of stabilized NOI achieved)</t>
  </si>
  <si>
    <t xml:space="preserve">NOI ($)</t>
  </si>
  <si>
    <t xml:space="preserve">Debt drawn (at delivery)</t>
  </si>
  <si>
    <t xml:space="preserve">Interest expense</t>
  </si>
  <si>
    <t xml:space="preserve">DSCR (NOI / interest expense)</t>
  </si>
  <si>
    <t xml:space="preserve">-</t>
  </si>
  <si>
    <t xml:space="preserve">Unlevered free cash flow</t>
  </si>
  <si>
    <t xml:space="preserve">Levered free cash flow</t>
  </si>
  <si>
    <t xml:space="preserve">Return Metrics</t>
  </si>
  <si>
    <t xml:space="preserve">Unlevered IRR</t>
  </si>
  <si>
    <t xml:space="preserve">Levered IRR</t>
  </si>
  <si>
    <t xml:space="preserve">Unlevered NPV (at WACC)</t>
  </si>
  <si>
    <t xml:space="preserve">Payback period (years, undiscounted)</t>
  </si>
  <si>
    <t xml:space="preserve">approximate, based on stabilization ramp</t>
  </si>
  <si>
    <t xml:space="preserve">Sensitivity: Unlevered IRR vs. Stabilized Yield on Cost and Exit Cap Rate</t>
  </si>
  <si>
    <t xml:space="preserve">Each row rebuilds the full unlevered cash flow line at the stated yield/cap and computes IRR directly, base case highlighted</t>
  </si>
  <si>
    <t xml:space="preserve">Sensitivity A: Yield on Cost (exit cap held at base case)</t>
  </si>
  <si>
    <t xml:space="preserve">Yield on Cost</t>
  </si>
  <si>
    <t xml:space="preserve">Yr0 CapEx</t>
  </si>
  <si>
    <t xml:space="preserve">Yr1 NOI</t>
  </si>
  <si>
    <t xml:space="preserve">Yr2 NOI</t>
  </si>
  <si>
    <t xml:space="preserve">Yr3 NOI</t>
  </si>
  <si>
    <t xml:space="preserve">Yr4 NOI</t>
  </si>
  <si>
    <t xml:space="preserve">Yr5 NOI</t>
  </si>
  <si>
    <t xml:space="preserve">Yr6 NOI+Exit</t>
  </si>
  <si>
    <t xml:space="preserve">Sensitivity B: Exit Cap Rate (yield on cost held at base case)</t>
  </si>
  <si>
    <t xml:space="preserve">Exit Cap Rate</t>
  </si>
  <si>
    <t xml:space="preserve">Executive Summary: 50 MW Data Center Development</t>
  </si>
  <si>
    <t xml:space="preserve">Prepared as a capital project investment case study, assumptions sourced from Digital Realty Trust (DLR) public FY2025 disclosures</t>
  </si>
  <si>
    <t xml:space="preserve">Key Metrics</t>
  </si>
  <si>
    <t xml:space="preserve">Approx. payback period (years)</t>
  </si>
  <si>
    <t xml:space="preserve">Minimum DSCR (Years 1-5)</t>
  </si>
  <si>
    <t xml:space="preserve">Recommendation &amp; Key Risks</t>
  </si>
  <si>
    <t xml:space="preserve">● Base case unlevered IRR clears WACC, supporting proceeding to full underwriting, subject to lender term sheet confirmation.</t>
  </si>
  <si>
    <t xml:space="preserve">● DSCR stays above 1.5x through the ramp period at the assumed 55% loan to cost, providing headroom against a slower lease up.</t>
  </si>
  <si>
    <t xml:space="preserve">● Primary risk: lease up pace. A 2 quarter delay in reaching 85% stabilization compresses IRR materially, see Sensitivity tab.</t>
  </si>
  <si>
    <t xml:space="preserve">● Primary risk: exit cap rate expansion. Every 50 bps of cap rate expansion at exit reduces terminal value and unlevered IRR, see Sensitivity tab.</t>
  </si>
  <si>
    <t xml:space="preserve">● Cost of debt and WACC are general market assumptions, not company sourced. Confirm against live lender quotes before final underwriting.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</si>
</sst>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\$#,##0"/>
    <numFmt numFmtId="167" formatCode="0.0%"/>
    <numFmt numFmtId="168" formatCode="0.0\x"/>
    <numFmt numFmtId="169" formatCode="\$#,##0,,\K"/>
    <numFmt numFmtId="170" formatCode="\$#,##0;&quot;($&quot;#,##0\)"/>
    <numFmt numFmtId="171" formatCode="\$#,##0;&quot;($&quot;#,##0\);\-"/>
    <numFmt numFmtId="172" formatCode="0%"/>
    <numFmt numFmtId="173" formatCode="0.00\x"/>
    <numFmt numFmtId="174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6" customFormat="false" ht="15" hidden="false" customHeight="true" outlineLevel="0" collapsed="false">
      <c r="A6" s="4" t="s">
        <v>3</v>
      </c>
      <c r="B6" s="5" t="n">
        <v>50</v>
      </c>
      <c r="E6" s="6" t="s">
        <v>4</v>
      </c>
    </row>
    <row r="7" customFormat="false" ht="15" hidden="false" customHeight="true" outlineLevel="0" collapsed="false">
      <c r="A7" s="4" t="s">
        <v>5</v>
      </c>
      <c r="B7" s="7" t="n">
        <v>13000000</v>
      </c>
      <c r="E7" s="6" t="s">
        <v>6</v>
      </c>
    </row>
    <row r="8" customFormat="false" ht="15" hidden="false" customHeight="true" outlineLevel="0" collapsed="false">
      <c r="A8" s="4" t="s">
        <v>7</v>
      </c>
      <c r="B8" s="8" t="n">
        <f aca="false">B6*B7</f>
        <v>650000000</v>
      </c>
      <c r="E8" s="6" t="s">
        <v>8</v>
      </c>
    </row>
    <row r="9" customFormat="false" ht="15" hidden="false" customHeight="true" outlineLevel="0" collapsed="false">
      <c r="A9" s="4" t="s">
        <v>9</v>
      </c>
      <c r="B9" s="5" t="n">
        <v>22</v>
      </c>
      <c r="E9" s="6" t="s">
        <v>10</v>
      </c>
    </row>
    <row r="10" customFormat="false" ht="15" hidden="false" customHeight="true" outlineLevel="0" collapsed="false">
      <c r="A10" s="4" t="s">
        <v>11</v>
      </c>
      <c r="B10" s="9" t="n">
        <v>0.75</v>
      </c>
      <c r="E10" s="6" t="s">
        <v>12</v>
      </c>
    </row>
    <row r="11" customFormat="false" ht="15" hidden="false" customHeight="true" outlineLevel="0" collapsed="false">
      <c r="A11" s="4" t="s">
        <v>13</v>
      </c>
      <c r="B11" s="9" t="n">
        <v>0.119</v>
      </c>
      <c r="E11" s="6" t="s">
        <v>14</v>
      </c>
    </row>
    <row r="12" customFormat="false" ht="15" hidden="false" customHeight="true" outlineLevel="0" collapsed="false">
      <c r="A12" s="4" t="s">
        <v>15</v>
      </c>
      <c r="B12" s="5" t="n">
        <v>18</v>
      </c>
      <c r="E12" s="6" t="s">
        <v>16</v>
      </c>
    </row>
    <row r="13" customFormat="false" ht="15" hidden="false" customHeight="true" outlineLevel="0" collapsed="false">
      <c r="A13" s="4" t="s">
        <v>17</v>
      </c>
      <c r="B13" s="10" t="n">
        <v>5.5</v>
      </c>
      <c r="E13" s="6" t="s">
        <v>18</v>
      </c>
    </row>
    <row r="14" customFormat="false" ht="15" hidden="false" customHeight="true" outlineLevel="0" collapsed="false">
      <c r="A14" s="4" t="s">
        <v>19</v>
      </c>
      <c r="B14" s="9" t="n">
        <v>0.55</v>
      </c>
      <c r="E14" s="6" t="s">
        <v>20</v>
      </c>
    </row>
    <row r="15" customFormat="false" ht="15" hidden="false" customHeight="true" outlineLevel="0" collapsed="false">
      <c r="A15" s="4" t="s">
        <v>21</v>
      </c>
      <c r="B15" s="9" t="n">
        <v>0.055</v>
      </c>
      <c r="E15" s="6" t="s">
        <v>22</v>
      </c>
    </row>
    <row r="16" customFormat="false" ht="15" hidden="false" customHeight="true" outlineLevel="0" collapsed="false">
      <c r="A16" s="4" t="s">
        <v>23</v>
      </c>
      <c r="B16" s="9" t="n">
        <v>0.085</v>
      </c>
      <c r="E16" s="6" t="s">
        <v>24</v>
      </c>
    </row>
    <row r="17" customFormat="false" ht="15" hidden="false" customHeight="true" outlineLevel="0" collapsed="false">
      <c r="A17" s="4" t="s">
        <v>25</v>
      </c>
      <c r="B17" s="9" t="n">
        <v>0.065</v>
      </c>
      <c r="E17" s="6" t="s">
        <v>26</v>
      </c>
    </row>
    <row r="18" customFormat="false" ht="15" hidden="false" customHeight="true" outlineLevel="0" collapsed="false">
      <c r="A18" s="4" t="s">
        <v>27</v>
      </c>
      <c r="B18" s="5" t="n">
        <v>5</v>
      </c>
      <c r="E18" s="6" t="s">
        <v>28</v>
      </c>
    </row>
    <row r="20" customFormat="false" ht="15" hidden="false" customHeight="false" outlineLevel="0" collapsed="false">
      <c r="A20" s="11" t="s">
        <v>29</v>
      </c>
    </row>
  </sheetData>
  <mergeCells count="1"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5" min="2" style="0" width="11"/>
  </cols>
  <sheetData>
    <row r="1" customFormat="false" ht="15" hidden="false" customHeight="false" outlineLevel="0" collapsed="false">
      <c r="A1" s="3" t="s">
        <v>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5" hidden="false" customHeight="false" outlineLevel="0" collapsed="false">
      <c r="A2" s="12" t="s">
        <v>31</v>
      </c>
      <c r="B2" s="13" t="n">
        <v>1</v>
      </c>
      <c r="C2" s="13" t="n">
        <v>2</v>
      </c>
      <c r="D2" s="13" t="n">
        <v>3</v>
      </c>
      <c r="E2" s="13" t="n">
        <v>4</v>
      </c>
      <c r="F2" s="13" t="n">
        <v>5</v>
      </c>
      <c r="G2" s="13" t="n">
        <v>6</v>
      </c>
      <c r="H2" s="13" t="n">
        <v>7</v>
      </c>
      <c r="I2" s="13" t="n">
        <v>8</v>
      </c>
      <c r="J2" s="13" t="n">
        <v>9</v>
      </c>
      <c r="K2" s="13" t="n">
        <v>10</v>
      </c>
      <c r="L2" s="13" t="n">
        <v>11</v>
      </c>
      <c r="M2" s="13" t="n">
        <v>12</v>
      </c>
      <c r="N2" s="13" t="n">
        <v>13</v>
      </c>
      <c r="O2" s="13" t="n">
        <v>14</v>
      </c>
      <c r="P2" s="13" t="n">
        <v>15</v>
      </c>
      <c r="Q2" s="13" t="n">
        <v>16</v>
      </c>
      <c r="R2" s="13" t="n">
        <v>17</v>
      </c>
      <c r="S2" s="13" t="n">
        <v>18</v>
      </c>
      <c r="T2" s="13" t="n">
        <v>19</v>
      </c>
      <c r="U2" s="13" t="n">
        <v>20</v>
      </c>
      <c r="V2" s="13" t="n">
        <v>21</v>
      </c>
      <c r="W2" s="13" t="n">
        <v>22</v>
      </c>
      <c r="X2" s="13" t="n">
        <v>23</v>
      </c>
      <c r="Y2" s="13" t="n">
        <v>24</v>
      </c>
    </row>
    <row r="3" customFormat="false" ht="15" hidden="false" customHeight="false" outlineLevel="0" collapsed="false">
      <c r="A3" s="4" t="s">
        <v>32</v>
      </c>
      <c r="B3" s="9" t="n">
        <v>0.01186</v>
      </c>
      <c r="C3" s="9" t="n">
        <v>0.02259</v>
      </c>
      <c r="D3" s="9" t="n">
        <v>0.03219</v>
      </c>
      <c r="E3" s="9" t="n">
        <v>0.04065</v>
      </c>
      <c r="F3" s="9" t="n">
        <v>0.048</v>
      </c>
      <c r="G3" s="9" t="n">
        <v>0.05421</v>
      </c>
      <c r="H3" s="9" t="n">
        <v>0.05929</v>
      </c>
      <c r="I3" s="9" t="n">
        <v>0.06324</v>
      </c>
      <c r="J3" s="9" t="n">
        <v>0.06606</v>
      </c>
      <c r="K3" s="9" t="n">
        <v>0.06776</v>
      </c>
      <c r="L3" s="9" t="n">
        <v>0.06832</v>
      </c>
      <c r="M3" s="9" t="n">
        <v>0.06776</v>
      </c>
      <c r="N3" s="9" t="n">
        <v>0.06606</v>
      </c>
      <c r="O3" s="9" t="n">
        <v>0.06324</v>
      </c>
      <c r="P3" s="9" t="n">
        <v>0.05929</v>
      </c>
      <c r="Q3" s="9" t="n">
        <v>0.05421</v>
      </c>
      <c r="R3" s="9" t="n">
        <v>0.048</v>
      </c>
      <c r="S3" s="9" t="n">
        <v>0.04065</v>
      </c>
      <c r="T3" s="9" t="n">
        <v>0.03219</v>
      </c>
      <c r="U3" s="9" t="n">
        <v>0.02259</v>
      </c>
      <c r="V3" s="9" t="n">
        <v>0.01186</v>
      </c>
      <c r="W3" s="9" t="n">
        <v>0</v>
      </c>
      <c r="X3" s="9" t="n">
        <v>0</v>
      </c>
      <c r="Y3" s="9" t="n">
        <v>0</v>
      </c>
    </row>
    <row r="4" customFormat="false" ht="15" hidden="false" customHeight="false" outlineLevel="0" collapsed="false">
      <c r="A4" s="4" t="s">
        <v>33</v>
      </c>
      <c r="B4" s="14" t="n">
        <f aca="false">B3*Assumptions!$B$8</f>
        <v>7709000</v>
      </c>
      <c r="C4" s="14" t="n">
        <f aca="false">C3*Assumptions!$B$8</f>
        <v>14683500</v>
      </c>
      <c r="D4" s="14" t="n">
        <f aca="false">D3*Assumptions!$B$8</f>
        <v>20923500</v>
      </c>
      <c r="E4" s="14" t="n">
        <f aca="false">E3*Assumptions!$B$8</f>
        <v>26422500</v>
      </c>
      <c r="F4" s="14" t="n">
        <f aca="false">F3*Assumptions!$B$8</f>
        <v>31200000</v>
      </c>
      <c r="G4" s="14" t="n">
        <f aca="false">G3*Assumptions!$B$8</f>
        <v>35236500</v>
      </c>
      <c r="H4" s="14" t="n">
        <f aca="false">H3*Assumptions!$B$8</f>
        <v>38538500</v>
      </c>
      <c r="I4" s="14" t="n">
        <f aca="false">I3*Assumptions!$B$8</f>
        <v>41106000</v>
      </c>
      <c r="J4" s="14" t="n">
        <f aca="false">J3*Assumptions!$B$8</f>
        <v>42939000</v>
      </c>
      <c r="K4" s="14" t="n">
        <f aca="false">K3*Assumptions!$B$8</f>
        <v>44044000</v>
      </c>
      <c r="L4" s="14" t="n">
        <f aca="false">L3*Assumptions!$B$8</f>
        <v>44408000</v>
      </c>
      <c r="M4" s="14" t="n">
        <f aca="false">M3*Assumptions!$B$8</f>
        <v>44044000</v>
      </c>
      <c r="N4" s="14" t="n">
        <f aca="false">N3*Assumptions!$B$8</f>
        <v>42939000</v>
      </c>
      <c r="O4" s="14" t="n">
        <f aca="false">O3*Assumptions!$B$8</f>
        <v>41106000</v>
      </c>
      <c r="P4" s="14" t="n">
        <f aca="false">P3*Assumptions!$B$8</f>
        <v>38538500</v>
      </c>
      <c r="Q4" s="14" t="n">
        <f aca="false">Q3*Assumptions!$B$8</f>
        <v>35236500</v>
      </c>
      <c r="R4" s="14" t="n">
        <f aca="false">R3*Assumptions!$B$8</f>
        <v>31200000</v>
      </c>
      <c r="S4" s="14" t="n">
        <f aca="false">S3*Assumptions!$B$8</f>
        <v>26422500</v>
      </c>
      <c r="T4" s="14" t="n">
        <f aca="false">T3*Assumptions!$B$8</f>
        <v>20923500</v>
      </c>
      <c r="U4" s="14" t="n">
        <f aca="false">U3*Assumptions!$B$8</f>
        <v>14683500</v>
      </c>
      <c r="V4" s="14" t="n">
        <f aca="false">V3*Assumptions!$B$8</f>
        <v>7709000</v>
      </c>
      <c r="W4" s="14" t="n">
        <f aca="false">W3*Assumptions!$B$8</f>
        <v>0</v>
      </c>
      <c r="X4" s="14" t="n">
        <f aca="false">X3*Assumptions!$B$8</f>
        <v>0</v>
      </c>
      <c r="Y4" s="14" t="n">
        <f aca="false">Y3*Assumptions!$B$8</f>
        <v>0</v>
      </c>
    </row>
    <row r="5" customFormat="false" ht="15" hidden="false" customHeight="false" outlineLevel="0" collapsed="false">
      <c r="A5" s="12" t="s">
        <v>34</v>
      </c>
      <c r="B5" s="15" t="n">
        <f aca="false">B4</f>
        <v>7709000</v>
      </c>
      <c r="C5" s="15" t="n">
        <f aca="false">B5+C4</f>
        <v>22392500</v>
      </c>
      <c r="D5" s="15" t="n">
        <f aca="false">C5+D4</f>
        <v>43316000</v>
      </c>
      <c r="E5" s="15" t="n">
        <f aca="false">D5+E4</f>
        <v>69738500</v>
      </c>
      <c r="F5" s="15" t="n">
        <f aca="false">E5+F4</f>
        <v>100938500</v>
      </c>
      <c r="G5" s="15" t="n">
        <f aca="false">F5+G4</f>
        <v>136175000</v>
      </c>
      <c r="H5" s="15" t="n">
        <f aca="false">G5+H4</f>
        <v>174713500</v>
      </c>
      <c r="I5" s="15" t="n">
        <f aca="false">H5+I4</f>
        <v>215819500</v>
      </c>
      <c r="J5" s="15" t="n">
        <f aca="false">I5+J4</f>
        <v>258758500</v>
      </c>
      <c r="K5" s="15" t="n">
        <f aca="false">J5+K4</f>
        <v>302802500</v>
      </c>
      <c r="L5" s="15" t="n">
        <f aca="false">K5+L4</f>
        <v>347210500</v>
      </c>
      <c r="M5" s="15" t="n">
        <f aca="false">L5+M4</f>
        <v>391254500</v>
      </c>
      <c r="N5" s="15" t="n">
        <f aca="false">M5+N4</f>
        <v>434193500</v>
      </c>
      <c r="O5" s="15" t="n">
        <f aca="false">N5+O4</f>
        <v>475299500</v>
      </c>
      <c r="P5" s="15" t="n">
        <f aca="false">O5+P4</f>
        <v>513838000</v>
      </c>
      <c r="Q5" s="15" t="n">
        <f aca="false">P5+Q4</f>
        <v>549074500</v>
      </c>
      <c r="R5" s="15" t="n">
        <f aca="false">Q5+R4</f>
        <v>580274500</v>
      </c>
      <c r="S5" s="15" t="n">
        <f aca="false">R5+S4</f>
        <v>606697000</v>
      </c>
      <c r="T5" s="15" t="n">
        <f aca="false">S5+T4</f>
        <v>627620500</v>
      </c>
      <c r="U5" s="15" t="n">
        <f aca="false">T5+U4</f>
        <v>642304000</v>
      </c>
      <c r="V5" s="15" t="n">
        <f aca="false">U5+V4</f>
        <v>650013000</v>
      </c>
      <c r="W5" s="15" t="n">
        <f aca="false">V5+W4</f>
        <v>650013000</v>
      </c>
      <c r="X5" s="15" t="n">
        <f aca="false">W5+X4</f>
        <v>650013000</v>
      </c>
      <c r="Y5" s="15" t="n">
        <f aca="false">X5+Y4</f>
        <v>650013000</v>
      </c>
    </row>
    <row r="7" customFormat="false" ht="15" hidden="false" customHeight="false" outlineLevel="0" collapsed="false">
      <c r="A7" s="12" t="s">
        <v>35</v>
      </c>
      <c r="B7" s="16" t="n">
        <f aca="false">SUM(B4:Y4)</f>
        <v>650013000</v>
      </c>
      <c r="C7" s="6" t="s">
        <v>36</v>
      </c>
    </row>
  </sheetData>
  <mergeCells count="1">
    <mergeCell ref="A1: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3" t="s">
        <v>37</v>
      </c>
      <c r="B1" s="3"/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12" t="s">
        <v>38</v>
      </c>
      <c r="B2" s="13" t="s">
        <v>39</v>
      </c>
      <c r="C2" s="13" t="s">
        <v>40</v>
      </c>
      <c r="D2" s="13" t="s">
        <v>41</v>
      </c>
      <c r="E2" s="13" t="s">
        <v>42</v>
      </c>
      <c r="F2" s="13" t="s">
        <v>43</v>
      </c>
      <c r="G2" s="13" t="s">
        <v>44</v>
      </c>
      <c r="H2" s="13" t="s">
        <v>45</v>
      </c>
    </row>
    <row r="3" customFormat="false" ht="15" hidden="false" customHeight="false" outlineLevel="0" collapsed="false">
      <c r="A3" s="4" t="s">
        <v>46</v>
      </c>
      <c r="B3" s="17" t="n">
        <f aca="false">-Assumptions!$B$8</f>
        <v>-650000000</v>
      </c>
      <c r="C3" s="18" t="n">
        <v>0</v>
      </c>
      <c r="D3" s="18" t="n">
        <v>0</v>
      </c>
      <c r="E3" s="18" t="n">
        <v>0</v>
      </c>
      <c r="F3" s="18" t="n">
        <v>0</v>
      </c>
      <c r="G3" s="18" t="n">
        <v>0</v>
      </c>
      <c r="H3" s="18" t="n">
        <v>0</v>
      </c>
    </row>
    <row r="4" customFormat="false" ht="15" hidden="false" customHeight="false" outlineLevel="0" collapsed="false">
      <c r="A4" s="4" t="s">
        <v>47</v>
      </c>
      <c r="B4" s="19" t="n">
        <f aca="false">Assumptions!$B$8*Assumptions!$B$11</f>
        <v>77350000</v>
      </c>
    </row>
    <row r="5" customFormat="false" ht="15" hidden="false" customHeight="false" outlineLevel="0" collapsed="false">
      <c r="A5" s="4" t="s">
        <v>48</v>
      </c>
      <c r="B5" s="20" t="n">
        <v>0</v>
      </c>
      <c r="C5" s="20" t="n">
        <v>0.4</v>
      </c>
      <c r="D5" s="20" t="n">
        <v>0.85</v>
      </c>
      <c r="E5" s="20" t="n">
        <v>1</v>
      </c>
      <c r="F5" s="20" t="n">
        <v>1</v>
      </c>
      <c r="G5" s="20" t="n">
        <v>1</v>
      </c>
      <c r="H5" s="20" t="n">
        <v>1</v>
      </c>
    </row>
    <row r="6" customFormat="false" ht="15" hidden="false" customHeight="false" outlineLevel="0" collapsed="false">
      <c r="A6" s="12" t="s">
        <v>49</v>
      </c>
      <c r="B6" s="16" t="n">
        <f aca="false">B5*$B$4</f>
        <v>0</v>
      </c>
      <c r="C6" s="16" t="n">
        <f aca="false">C5*$B$4</f>
        <v>30940000</v>
      </c>
      <c r="D6" s="16" t="n">
        <f aca="false">D5*$B$4</f>
        <v>65747500</v>
      </c>
      <c r="E6" s="16" t="n">
        <f aca="false">E5*$B$4</f>
        <v>77350000</v>
      </c>
      <c r="F6" s="16" t="n">
        <f aca="false">F5*$B$4</f>
        <v>77350000</v>
      </c>
      <c r="G6" s="16" t="n">
        <f aca="false">G5*$B$4</f>
        <v>77350000</v>
      </c>
      <c r="H6" s="16" t="n">
        <f aca="false">H5*$B$4</f>
        <v>77350000</v>
      </c>
    </row>
    <row r="8" customFormat="false" ht="15" hidden="false" customHeight="false" outlineLevel="0" collapsed="false">
      <c r="A8" s="4" t="s">
        <v>50</v>
      </c>
      <c r="B8" s="19" t="n">
        <f aca="false">Assumptions!$B$8*Assumptions!$B$14</f>
        <v>357500000</v>
      </c>
    </row>
    <row r="9" customFormat="false" ht="15" hidden="false" customHeight="false" outlineLevel="0" collapsed="false">
      <c r="A9" s="4" t="s">
        <v>51</v>
      </c>
      <c r="B9" s="18" t="n">
        <v>0</v>
      </c>
      <c r="C9" s="17" t="n">
        <f aca="false">-$B$8*Assumptions!$B$15</f>
        <v>-19662500</v>
      </c>
      <c r="D9" s="17" t="n">
        <f aca="false">-$B$8*Assumptions!$B$15</f>
        <v>-19662500</v>
      </c>
      <c r="E9" s="17" t="n">
        <f aca="false">-$B$8*Assumptions!$B$15</f>
        <v>-19662500</v>
      </c>
      <c r="F9" s="17" t="n">
        <f aca="false">-$B$8*Assumptions!$B$15</f>
        <v>-19662500</v>
      </c>
      <c r="G9" s="17" t="n">
        <f aca="false">-$B$8*Assumptions!$B$15</f>
        <v>-19662500</v>
      </c>
      <c r="H9" s="17" t="n">
        <f aca="false">-$B$8*Assumptions!$B$15</f>
        <v>-19662500</v>
      </c>
    </row>
    <row r="10" customFormat="false" ht="15" hidden="false" customHeight="false" outlineLevel="0" collapsed="false">
      <c r="A10" s="12" t="s">
        <v>52</v>
      </c>
      <c r="B10" s="21" t="s">
        <v>53</v>
      </c>
      <c r="C10" s="22" t="n">
        <f aca="false">IF(C9=0,"-",C6/-C9)</f>
        <v>1.57355371900826</v>
      </c>
      <c r="D10" s="22" t="n">
        <f aca="false">IF(D9=0,"-",D6/-D9)</f>
        <v>3.34380165289256</v>
      </c>
      <c r="E10" s="22" t="n">
        <f aca="false">IF(E9=0,"-",E6/-E9)</f>
        <v>3.93388429752066</v>
      </c>
      <c r="F10" s="22" t="n">
        <f aca="false">IF(F9=0,"-",F6/-F9)</f>
        <v>3.93388429752066</v>
      </c>
      <c r="G10" s="22" t="n">
        <f aca="false">IF(G9=0,"-",G6/-G9)</f>
        <v>3.93388429752066</v>
      </c>
      <c r="H10" s="22" t="n">
        <f aca="false">IF(H9=0,"-",H6/-H9)</f>
        <v>3.93388429752066</v>
      </c>
    </row>
    <row r="12" customFormat="false" ht="15" hidden="false" customHeight="false" outlineLevel="0" collapsed="false">
      <c r="A12" s="12" t="s">
        <v>54</v>
      </c>
      <c r="B12" s="23" t="n">
        <f aca="false">B3+B6</f>
        <v>-650000000</v>
      </c>
      <c r="C12" s="23" t="n">
        <f aca="false">C6</f>
        <v>30940000</v>
      </c>
      <c r="D12" s="23" t="n">
        <f aca="false">D6</f>
        <v>65747500</v>
      </c>
      <c r="E12" s="23" t="n">
        <f aca="false">E6</f>
        <v>77350000</v>
      </c>
      <c r="F12" s="23" t="n">
        <f aca="false">F6</f>
        <v>77350000</v>
      </c>
      <c r="G12" s="23" t="n">
        <f aca="false">G6</f>
        <v>77350000</v>
      </c>
      <c r="H12" s="23" t="n">
        <f aca="false">H6+(B4/Assumptions!$B$17)</f>
        <v>1267350000</v>
      </c>
    </row>
    <row r="14" customFormat="false" ht="15" hidden="false" customHeight="false" outlineLevel="0" collapsed="false">
      <c r="A14" s="12" t="s">
        <v>55</v>
      </c>
      <c r="B14" s="17" t="n">
        <f aca="false">B3+B8</f>
        <v>-292500000</v>
      </c>
      <c r="C14" s="17" t="n">
        <f aca="false">C6+C9</f>
        <v>11277500</v>
      </c>
      <c r="D14" s="17" t="n">
        <f aca="false">D6+D9</f>
        <v>46085000</v>
      </c>
      <c r="E14" s="17" t="n">
        <f aca="false">E6+E9</f>
        <v>57687500</v>
      </c>
      <c r="F14" s="17" t="n">
        <f aca="false">F6+F9</f>
        <v>57687500</v>
      </c>
      <c r="G14" s="17" t="n">
        <f aca="false">G6+G9</f>
        <v>57687500</v>
      </c>
      <c r="H14" s="17" t="n">
        <f aca="false">H6+H9+(B4/Assumptions!$B$17)-$B$8</f>
        <v>890187500</v>
      </c>
    </row>
    <row r="16" customFormat="false" ht="15" hidden="false" customHeight="false" outlineLevel="0" collapsed="false">
      <c r="A16" s="3" t="s">
        <v>56</v>
      </c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12" t="s">
        <v>57</v>
      </c>
      <c r="B17" s="24" t="n">
        <f aca="false">IRR(B12:H12)</f>
        <v>0.184804688958763</v>
      </c>
    </row>
    <row r="18" customFormat="false" ht="15" hidden="false" customHeight="false" outlineLevel="0" collapsed="false">
      <c r="A18" s="12" t="s">
        <v>58</v>
      </c>
      <c r="B18" s="24" t="n">
        <f aca="false">IRR(B14:H14)</f>
        <v>0.290845834765882</v>
      </c>
    </row>
    <row r="19" customFormat="false" ht="15" hidden="false" customHeight="false" outlineLevel="0" collapsed="false">
      <c r="A19" s="12" t="s">
        <v>59</v>
      </c>
      <c r="B19" s="25" t="n">
        <f aca="false">NPV(Assumptions!$B$16,C12:H12)+B12</f>
        <v>378994626.851305</v>
      </c>
    </row>
    <row r="20" customFormat="false" ht="15" hidden="false" customHeight="false" outlineLevel="0" collapsed="false">
      <c r="A20" s="12" t="s">
        <v>60</v>
      </c>
      <c r="B20" s="26" t="n">
        <f aca="false">MATCH(TRUE(),INDEX(B5:H5&gt;=1,0),0)-1+((1-C5)/(D5-C5))</f>
        <v>4.33333333333333</v>
      </c>
      <c r="C20" s="6" t="s">
        <v>61</v>
      </c>
    </row>
  </sheetData>
  <mergeCells count="2">
    <mergeCell ref="A1:H1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3" t="s">
        <v>62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3" t="s">
        <v>64</v>
      </c>
      <c r="B4" s="3"/>
      <c r="C4" s="3"/>
      <c r="D4" s="3"/>
      <c r="E4" s="3"/>
      <c r="F4" s="3"/>
      <c r="G4" s="3"/>
      <c r="H4" s="3"/>
      <c r="I4" s="3"/>
    </row>
    <row r="5" customFormat="false" ht="28.35" hidden="false" customHeight="false" outlineLevel="0" collapsed="false">
      <c r="A5" s="27" t="s">
        <v>65</v>
      </c>
      <c r="B5" s="27" t="s">
        <v>66</v>
      </c>
      <c r="C5" s="27" t="s">
        <v>67</v>
      </c>
      <c r="D5" s="27" t="s">
        <v>68</v>
      </c>
      <c r="E5" s="27" t="s">
        <v>69</v>
      </c>
      <c r="F5" s="27" t="s">
        <v>70</v>
      </c>
      <c r="G5" s="27" t="s">
        <v>71</v>
      </c>
      <c r="H5" s="27" t="s">
        <v>72</v>
      </c>
      <c r="I5" s="27" t="s">
        <v>57</v>
      </c>
    </row>
    <row r="6" customFormat="false" ht="15" hidden="false" customHeight="false" outlineLevel="0" collapsed="false">
      <c r="A6" s="24" t="n">
        <v>0.099</v>
      </c>
      <c r="B6" s="17" t="n">
        <f aca="false">-Assumptions!$B$8</f>
        <v>-650000000</v>
      </c>
      <c r="C6" s="25" t="n">
        <f aca="false">'Cash Flow &amp; Returns'!C5*Assumptions!$B$8*A6</f>
        <v>25740000</v>
      </c>
      <c r="D6" s="25" t="n">
        <f aca="false">'Cash Flow &amp; Returns'!D5*Assumptions!$B$8*A6</f>
        <v>54697500</v>
      </c>
      <c r="E6" s="25" t="n">
        <f aca="false">'Cash Flow &amp; Returns'!E5*Assumptions!$B$8*A6</f>
        <v>64350000</v>
      </c>
      <c r="F6" s="25" t="n">
        <f aca="false">'Cash Flow &amp; Returns'!F5*Assumptions!$B$8*A6</f>
        <v>64350000</v>
      </c>
      <c r="G6" s="25" t="n">
        <f aca="false">Assumptions!$B$8*A6</f>
        <v>64350000</v>
      </c>
      <c r="H6" s="25" t="n">
        <f aca="false">Assumptions!$B$8*A6+(Assumptions!$B$8*A6/Assumptions!$B$17)</f>
        <v>1054350000</v>
      </c>
      <c r="I6" s="24" t="n">
        <f aca="false">IRR(B6:H6)</f>
        <v>0.143337641578085</v>
      </c>
    </row>
    <row r="7" customFormat="false" ht="15" hidden="false" customHeight="false" outlineLevel="0" collapsed="false">
      <c r="A7" s="24" t="n">
        <v>0.109</v>
      </c>
      <c r="B7" s="17" t="n">
        <f aca="false">-Assumptions!$B$8</f>
        <v>-650000000</v>
      </c>
      <c r="C7" s="25" t="n">
        <f aca="false">'Cash Flow &amp; Returns'!C5*Assumptions!$B$8*A7</f>
        <v>28340000</v>
      </c>
      <c r="D7" s="25" t="n">
        <f aca="false">'Cash Flow &amp; Returns'!D5*Assumptions!$B$8*A7</f>
        <v>60222500</v>
      </c>
      <c r="E7" s="25" t="n">
        <f aca="false">'Cash Flow &amp; Returns'!E5*Assumptions!$B$8*A7</f>
        <v>70850000</v>
      </c>
      <c r="F7" s="25" t="n">
        <f aca="false">'Cash Flow &amp; Returns'!F5*Assumptions!$B$8*A7</f>
        <v>70850000</v>
      </c>
      <c r="G7" s="25" t="n">
        <f aca="false">Assumptions!$B$8*A7</f>
        <v>70850000</v>
      </c>
      <c r="H7" s="25" t="n">
        <f aca="false">Assumptions!$B$8*A7+(Assumptions!$B$8*A7/Assumptions!$B$17)</f>
        <v>1160850000</v>
      </c>
      <c r="I7" s="24" t="n">
        <f aca="false">IRR(B7:H7)</f>
        <v>0.164759446486174</v>
      </c>
    </row>
    <row r="8" customFormat="false" ht="15" hidden="false" customHeight="false" outlineLevel="0" collapsed="false">
      <c r="A8" s="24" t="n">
        <v>0.119</v>
      </c>
      <c r="B8" s="17" t="n">
        <f aca="false">-Assumptions!$B$8</f>
        <v>-650000000</v>
      </c>
      <c r="C8" s="25" t="n">
        <f aca="false">'Cash Flow &amp; Returns'!C5*Assumptions!$B$8*A8</f>
        <v>30940000</v>
      </c>
      <c r="D8" s="25" t="n">
        <f aca="false">'Cash Flow &amp; Returns'!D5*Assumptions!$B$8*A8</f>
        <v>65747500</v>
      </c>
      <c r="E8" s="25" t="n">
        <f aca="false">'Cash Flow &amp; Returns'!E5*Assumptions!$B$8*A8</f>
        <v>77350000</v>
      </c>
      <c r="F8" s="25" t="n">
        <f aca="false">'Cash Flow &amp; Returns'!F5*Assumptions!$B$8*A8</f>
        <v>77350000</v>
      </c>
      <c r="G8" s="25" t="n">
        <f aca="false">Assumptions!$B$8*A8</f>
        <v>77350000</v>
      </c>
      <c r="H8" s="25" t="n">
        <f aca="false">Assumptions!$B$8*A8+(Assumptions!$B$8*A8/Assumptions!$B$17)</f>
        <v>1267350000</v>
      </c>
      <c r="I8" s="28" t="n">
        <f aca="false">IRR(B8:H8)</f>
        <v>0.184804688958763</v>
      </c>
    </row>
    <row r="9" customFormat="false" ht="15" hidden="false" customHeight="false" outlineLevel="0" collapsed="false">
      <c r="A9" s="24" t="n">
        <v>0.129</v>
      </c>
      <c r="B9" s="17" t="n">
        <f aca="false">-Assumptions!$B$8</f>
        <v>-650000000</v>
      </c>
      <c r="C9" s="25" t="n">
        <f aca="false">'Cash Flow &amp; Returns'!C5*Assumptions!$B$8*A9</f>
        <v>33540000</v>
      </c>
      <c r="D9" s="25" t="n">
        <f aca="false">'Cash Flow &amp; Returns'!D5*Assumptions!$B$8*A9</f>
        <v>71272500</v>
      </c>
      <c r="E9" s="25" t="n">
        <f aca="false">'Cash Flow &amp; Returns'!E5*Assumptions!$B$8*A9</f>
        <v>83850000</v>
      </c>
      <c r="F9" s="25" t="n">
        <f aca="false">'Cash Flow &amp; Returns'!F5*Assumptions!$B$8*A9</f>
        <v>83850000</v>
      </c>
      <c r="G9" s="25" t="n">
        <f aca="false">Assumptions!$B$8*A9</f>
        <v>83850000</v>
      </c>
      <c r="H9" s="25" t="n">
        <f aca="false">Assumptions!$B$8*A9+(Assumptions!$B$8*A9/Assumptions!$B$17)</f>
        <v>1373850000</v>
      </c>
      <c r="I9" s="24" t="n">
        <f aca="false">IRR(B9:H9)</f>
        <v>0.203677009722868</v>
      </c>
    </row>
    <row r="10" customFormat="false" ht="15" hidden="false" customHeight="false" outlineLevel="0" collapsed="false">
      <c r="A10" s="24" t="n">
        <v>0.139</v>
      </c>
      <c r="B10" s="17" t="n">
        <f aca="false">-Assumptions!$B$8</f>
        <v>-650000000</v>
      </c>
      <c r="C10" s="25" t="n">
        <f aca="false">'Cash Flow &amp; Returns'!C5*Assumptions!$B$8*A10</f>
        <v>36140000</v>
      </c>
      <c r="D10" s="25" t="n">
        <f aca="false">'Cash Flow &amp; Returns'!D5*Assumptions!$B$8*A10</f>
        <v>76797500</v>
      </c>
      <c r="E10" s="25" t="n">
        <f aca="false">'Cash Flow &amp; Returns'!E5*Assumptions!$B$8*A10</f>
        <v>90350000</v>
      </c>
      <c r="F10" s="25" t="n">
        <f aca="false">'Cash Flow &amp; Returns'!F5*Assumptions!$B$8*A10</f>
        <v>90350000</v>
      </c>
      <c r="G10" s="25" t="n">
        <f aca="false">Assumptions!$B$8*A10</f>
        <v>90350000</v>
      </c>
      <c r="H10" s="25" t="n">
        <f aca="false">Assumptions!$B$8*A10+(Assumptions!$B$8*A10/Assumptions!$B$17)</f>
        <v>1480350000</v>
      </c>
      <c r="I10" s="24" t="n">
        <f aca="false">IRR(B10:H10)</f>
        <v>0.221536875359227</v>
      </c>
    </row>
    <row r="13" customFormat="false" ht="15" hidden="false" customHeight="false" outlineLevel="0" collapsed="false">
      <c r="A13" s="3" t="s">
        <v>73</v>
      </c>
      <c r="B13" s="3"/>
      <c r="C13" s="3"/>
      <c r="D13" s="3"/>
      <c r="E13" s="3"/>
      <c r="F13" s="3"/>
      <c r="G13" s="3"/>
      <c r="H13" s="3"/>
      <c r="I13" s="3"/>
    </row>
    <row r="14" customFormat="false" ht="28.35" hidden="false" customHeight="false" outlineLevel="0" collapsed="false">
      <c r="A14" s="27" t="s">
        <v>74</v>
      </c>
      <c r="B14" s="27" t="s">
        <v>66</v>
      </c>
      <c r="C14" s="27" t="s">
        <v>67</v>
      </c>
      <c r="D14" s="27" t="s">
        <v>68</v>
      </c>
      <c r="E14" s="27" t="s">
        <v>69</v>
      </c>
      <c r="F14" s="27" t="s">
        <v>70</v>
      </c>
      <c r="G14" s="27" t="s">
        <v>71</v>
      </c>
      <c r="H14" s="27" t="s">
        <v>72</v>
      </c>
      <c r="I14" s="27" t="s">
        <v>57</v>
      </c>
    </row>
    <row r="15" customFormat="false" ht="15" hidden="false" customHeight="false" outlineLevel="0" collapsed="false">
      <c r="A15" s="24" t="n">
        <v>0.055</v>
      </c>
      <c r="B15" s="17" t="n">
        <f aca="false">'Cash Flow &amp; Returns'!B12</f>
        <v>-650000000</v>
      </c>
      <c r="C15" s="25" t="n">
        <f aca="false">'Cash Flow &amp; Returns'!C12</f>
        <v>30940000</v>
      </c>
      <c r="D15" s="25" t="n">
        <f aca="false">'Cash Flow &amp; Returns'!D12</f>
        <v>65747500</v>
      </c>
      <c r="E15" s="25" t="n">
        <f aca="false">'Cash Flow &amp; Returns'!E12</f>
        <v>77350000</v>
      </c>
      <c r="F15" s="25" t="n">
        <f aca="false">'Cash Flow &amp; Returns'!F12</f>
        <v>77350000</v>
      </c>
      <c r="G15" s="25" t="n">
        <f aca="false">'Cash Flow &amp; Returns'!G12</f>
        <v>77350000</v>
      </c>
      <c r="H15" s="25" t="n">
        <f aca="false">'Cash Flow &amp; Returns'!H6+(Assumptions!$B$8*Assumptions!$B$11/A15)</f>
        <v>1483713636.36364</v>
      </c>
      <c r="I15" s="24" t="n">
        <f aca="false">IRR(B15:H15)</f>
        <v>0.211006835537892</v>
      </c>
    </row>
    <row r="16" customFormat="false" ht="15" hidden="false" customHeight="false" outlineLevel="0" collapsed="false">
      <c r="A16" s="24" t="n">
        <v>0.06</v>
      </c>
      <c r="B16" s="17" t="n">
        <f aca="false">'Cash Flow &amp; Returns'!B12</f>
        <v>-650000000</v>
      </c>
      <c r="C16" s="25" t="n">
        <f aca="false">'Cash Flow &amp; Returns'!C12</f>
        <v>30940000</v>
      </c>
      <c r="D16" s="25" t="n">
        <f aca="false">'Cash Flow &amp; Returns'!D12</f>
        <v>65747500</v>
      </c>
      <c r="E16" s="25" t="n">
        <f aca="false">'Cash Flow &amp; Returns'!E12</f>
        <v>77350000</v>
      </c>
      <c r="F16" s="25" t="n">
        <f aca="false">'Cash Flow &amp; Returns'!F12</f>
        <v>77350000</v>
      </c>
      <c r="G16" s="25" t="n">
        <f aca="false">'Cash Flow &amp; Returns'!G12</f>
        <v>77350000</v>
      </c>
      <c r="H16" s="25" t="n">
        <f aca="false">'Cash Flow &amp; Returns'!H6+(Assumptions!$B$8*Assumptions!$B$11/A16)</f>
        <v>1366516666.66667</v>
      </c>
      <c r="I16" s="24" t="n">
        <f aca="false">IRR(B16:H16)</f>
        <v>0.197199721848108</v>
      </c>
    </row>
    <row r="17" customFormat="false" ht="15" hidden="false" customHeight="false" outlineLevel="0" collapsed="false">
      <c r="A17" s="24" t="n">
        <v>0.065</v>
      </c>
      <c r="B17" s="17" t="n">
        <f aca="false">'Cash Flow &amp; Returns'!B12</f>
        <v>-650000000</v>
      </c>
      <c r="C17" s="25" t="n">
        <f aca="false">'Cash Flow &amp; Returns'!C12</f>
        <v>30940000</v>
      </c>
      <c r="D17" s="25" t="n">
        <f aca="false">'Cash Flow &amp; Returns'!D12</f>
        <v>65747500</v>
      </c>
      <c r="E17" s="25" t="n">
        <f aca="false">'Cash Flow &amp; Returns'!E12</f>
        <v>77350000</v>
      </c>
      <c r="F17" s="25" t="n">
        <f aca="false">'Cash Flow &amp; Returns'!F12</f>
        <v>77350000</v>
      </c>
      <c r="G17" s="25" t="n">
        <f aca="false">'Cash Flow &amp; Returns'!G12</f>
        <v>77350000</v>
      </c>
      <c r="H17" s="25" t="n">
        <f aca="false">'Cash Flow &amp; Returns'!H6+(Assumptions!$B$8*Assumptions!$B$11/A17)</f>
        <v>1267350000</v>
      </c>
      <c r="I17" s="28" t="n">
        <f aca="false">IRR(B17:H17)</f>
        <v>0.184804688958763</v>
      </c>
    </row>
    <row r="18" customFormat="false" ht="15" hidden="false" customHeight="false" outlineLevel="0" collapsed="false">
      <c r="A18" s="24" t="n">
        <v>0.07</v>
      </c>
      <c r="B18" s="17" t="n">
        <f aca="false">'Cash Flow &amp; Returns'!B12</f>
        <v>-650000000</v>
      </c>
      <c r="C18" s="25" t="n">
        <f aca="false">'Cash Flow &amp; Returns'!C12</f>
        <v>30940000</v>
      </c>
      <c r="D18" s="25" t="n">
        <f aca="false">'Cash Flow &amp; Returns'!D12</f>
        <v>65747500</v>
      </c>
      <c r="E18" s="25" t="n">
        <f aca="false">'Cash Flow &amp; Returns'!E12</f>
        <v>77350000</v>
      </c>
      <c r="F18" s="25" t="n">
        <f aca="false">'Cash Flow &amp; Returns'!F12</f>
        <v>77350000</v>
      </c>
      <c r="G18" s="25" t="n">
        <f aca="false">'Cash Flow &amp; Returns'!G12</f>
        <v>77350000</v>
      </c>
      <c r="H18" s="25" t="n">
        <f aca="false">'Cash Flow &amp; Returns'!H6+(Assumptions!$B$8*Assumptions!$B$11/A18)</f>
        <v>1182350000</v>
      </c>
      <c r="I18" s="24" t="n">
        <f aca="false">IRR(B18:H18)</f>
        <v>0.17359072592245</v>
      </c>
    </row>
    <row r="19" customFormat="false" ht="15" hidden="false" customHeight="false" outlineLevel="0" collapsed="false">
      <c r="A19" s="24" t="n">
        <v>0.075</v>
      </c>
      <c r="B19" s="17" t="n">
        <f aca="false">'Cash Flow &amp; Returns'!B12</f>
        <v>-650000000</v>
      </c>
      <c r="C19" s="25" t="n">
        <f aca="false">'Cash Flow &amp; Returns'!C12</f>
        <v>30940000</v>
      </c>
      <c r="D19" s="25" t="n">
        <f aca="false">'Cash Flow &amp; Returns'!D12</f>
        <v>65747500</v>
      </c>
      <c r="E19" s="25" t="n">
        <f aca="false">'Cash Flow &amp; Returns'!E12</f>
        <v>77350000</v>
      </c>
      <c r="F19" s="25" t="n">
        <f aca="false">'Cash Flow &amp; Returns'!F12</f>
        <v>77350000</v>
      </c>
      <c r="G19" s="25" t="n">
        <f aca="false">'Cash Flow &amp; Returns'!G12</f>
        <v>77350000</v>
      </c>
      <c r="H19" s="25" t="n">
        <f aca="false">'Cash Flow &amp; Returns'!H6+(Assumptions!$B$8*Assumptions!$B$11/A19)</f>
        <v>1108683333.33333</v>
      </c>
      <c r="I19" s="24" t="n">
        <f aca="false">IRR(B19:H19)</f>
        <v>0.163377557997753</v>
      </c>
    </row>
  </sheetData>
  <mergeCells count="3">
    <mergeCell ref="A1:I1"/>
    <mergeCell ref="A4:I4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15" hidden="false" customHeight="false" outlineLevel="0" collapsed="false">
      <c r="A4" s="3" t="s">
        <v>77</v>
      </c>
      <c r="B4" s="3"/>
      <c r="C4" s="3"/>
    </row>
    <row r="5" customFormat="false" ht="15" hidden="false" customHeight="false" outlineLevel="0" collapsed="false">
      <c r="A5" s="4" t="s">
        <v>7</v>
      </c>
      <c r="B5" s="16" t="n">
        <f aca="false">Assumptions!$B$8</f>
        <v>650000000</v>
      </c>
    </row>
    <row r="6" customFormat="false" ht="15" hidden="false" customHeight="false" outlineLevel="0" collapsed="false">
      <c r="A6" s="4" t="s">
        <v>5</v>
      </c>
      <c r="B6" s="16" t="n">
        <f aca="false">Assumptions!$B$7</f>
        <v>13000000</v>
      </c>
    </row>
    <row r="7" customFormat="false" ht="15" hidden="false" customHeight="false" outlineLevel="0" collapsed="false">
      <c r="A7" s="4" t="s">
        <v>13</v>
      </c>
      <c r="B7" s="29" t="n">
        <f aca="false">Assumptions!$B$11</f>
        <v>0.119</v>
      </c>
    </row>
    <row r="8" customFormat="false" ht="15" hidden="false" customHeight="false" outlineLevel="0" collapsed="false">
      <c r="A8" s="4" t="s">
        <v>57</v>
      </c>
      <c r="B8" s="29" t="n">
        <f aca="false">'Cash Flow &amp; Returns'!B17</f>
        <v>0.184804688958763</v>
      </c>
    </row>
    <row r="9" customFormat="false" ht="15" hidden="false" customHeight="false" outlineLevel="0" collapsed="false">
      <c r="A9" s="4" t="s">
        <v>58</v>
      </c>
      <c r="B9" s="29" t="n">
        <f aca="false">'Cash Flow &amp; Returns'!B18</f>
        <v>0.290845834765882</v>
      </c>
    </row>
    <row r="10" customFormat="false" ht="15" hidden="false" customHeight="false" outlineLevel="0" collapsed="false">
      <c r="A10" s="4" t="s">
        <v>59</v>
      </c>
      <c r="B10" s="16" t="n">
        <f aca="false">'Cash Flow &amp; Returns'!B19</f>
        <v>378994626.851305</v>
      </c>
    </row>
    <row r="11" customFormat="false" ht="15" hidden="false" customHeight="false" outlineLevel="0" collapsed="false">
      <c r="A11" s="4" t="s">
        <v>78</v>
      </c>
      <c r="B11" s="30" t="n">
        <f aca="false">'Cash Flow &amp; Returns'!B20</f>
        <v>4.33333333333333</v>
      </c>
    </row>
    <row r="12" customFormat="false" ht="15" hidden="false" customHeight="false" outlineLevel="0" collapsed="false">
      <c r="A12" s="4" t="s">
        <v>79</v>
      </c>
      <c r="B12" s="31" t="n">
        <f aca="false">MIN('Cash Flow &amp; Returns'!C10:G10)</f>
        <v>1.57355371900826</v>
      </c>
    </row>
    <row r="14" customFormat="false" ht="15" hidden="false" customHeight="false" outlineLevel="0" collapsed="false">
      <c r="A14" s="3" t="s">
        <v>80</v>
      </c>
      <c r="B14" s="3"/>
      <c r="C14" s="3"/>
    </row>
    <row r="15" customFormat="false" ht="27.75" hidden="false" customHeight="true" outlineLevel="0" collapsed="false">
      <c r="A15" s="32" t="s">
        <v>81</v>
      </c>
      <c r="B15" s="32"/>
      <c r="C15" s="32"/>
    </row>
    <row r="16" customFormat="false" ht="27.75" hidden="false" customHeight="true" outlineLevel="0" collapsed="false">
      <c r="A16" s="32" t="s">
        <v>82</v>
      </c>
      <c r="B16" s="32"/>
      <c r="C16" s="32"/>
    </row>
    <row r="17" customFormat="false" ht="27.75" hidden="false" customHeight="true" outlineLevel="0" collapsed="false">
      <c r="A17" s="32" t="s">
        <v>83</v>
      </c>
      <c r="B17" s="32"/>
      <c r="C17" s="32"/>
    </row>
    <row r="18" customFormat="false" ht="27.75" hidden="false" customHeight="true" outlineLevel="0" collapsed="false">
      <c r="A18" s="32" t="s">
        <v>84</v>
      </c>
      <c r="B18" s="32"/>
      <c r="C18" s="32"/>
    </row>
    <row r="19" customFormat="false" ht="27.75" hidden="false" customHeight="true" outlineLevel="0" collapsed="false">
      <c r="A19" s="32" t="s">
        <v>85</v>
      </c>
      <c r="B19" s="32"/>
      <c r="C19" s="32"/>
    </row>
  </sheetData>
  <mergeCells count="7">
    <mergeCell ref="A4:C4"/>
    <mergeCell ref="A14:C14"/>
    <mergeCell ref="A15:C15"/>
    <mergeCell ref="A16:C16"/>
    <mergeCell ref="A17:C17"/>
    <mergeCell ref="A18:C18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2026-07-07T22:53:17Z</dcterms:created>
  <dc:creator>openpyxl</dc:creator>
  <dc:description/>
  <dc:language>en-US</dc:language>
  <cp:lastModifiedBy/>
  <dcterms:modified xsi:type="dcterms:W3CDTF">2026-07-07T22:53:17Z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