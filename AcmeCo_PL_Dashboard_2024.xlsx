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P&amp;L Dashboard" sheetId="2" state="visible" r:id="rId4"/>
    <sheet name="Charts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<sst xmlns="http://schemas.openxmlformats.org/spreadsheetml/2006/main" count="111" uniqueCount="92">
  <si>
    <t xml:space="preserve">Acme Co. — Monthly Financial Data (FY 2024)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</si>
  <si>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</si>
  <si>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</si>
  <si>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</si>
  <si>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</si>
  <si>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</si>
  <si>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</si>
  <si>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</si>
  <si>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</si>
  <si>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</si>
  <si>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</si>
  <si>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</si>
  <si>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</si>
  <si>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</si>
  <si>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</si>
  <si>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Source</t>
  </si>
  <si>
    <t xml:space="preserve">Revenue</t>
  </si>
  <si>
    <t xml:space="preserve">Source: Internal budget model, FY2024</t>
  </si>
  <si>
    <t xml:space="preserve">Payroll</t>
  </si>
  <si>
    <t xml:space="preserve">COGS</t>
  </si>
  <si>
    <t xml:space="preserve">Marketing</t>
  </si>
  <si>
    <t xml:space="preserve">G&amp;A</t>
  </si>
  <si>
    <t xml:space="preserve">Acme Co. — Profit &amp; Loss Dashboard | FY 2024</t>
  </si>
  <si>
    <t xml:space="preserve">Portfolio Work Sample — Financial Analyst</t>
  </si>
  <si>
    <t xml:space="preserve">% of Rev</t>
  </si>
  <si>
    <t xml:space="preserve">  REVENUE</t>
  </si>
  <si>
    <t xml:space="preserve">Net Revenue</t>
  </si>
  <si>
    <t xml:space="preserve">  COST OF GOODS SOLD</t>
  </si>
  <si>
    <t xml:space="preserve">Cost of Goods Sold</t>
  </si>
  <si>
    <t xml:space="preserve">Gross Profit</t>
  </si>
  <si>
    <t xml:space="preserve">  OPERATING EXPENSES</t>
  </si>
  <si>
    <t xml:space="preserve">Payroll &amp; Benefits</t>
  </si>
  <si>
    <t xml:space="preserve">Marketing &amp; Advertising</t>
  </si>
  <si>
    <t xml:space="preserve">General &amp; Administrative</t>
  </si>
  <si>
    <t xml:space="preserve">Total Operating Expenses</t>
  </si>
  <si>
    <t xml:space="preserve">NET PROFIT</t>
  </si>
  <si>
    <t xml:space="preserve">Net Profit Margin %</t>
  </si>
  <si>
    <t xml:space="preserve">MoM Revenue Growth %</t>
  </si>
  <si>
    <t xml:space="preserve">—</t>
  </si>
  <si>
    <t xml:space="preserve">  KEY PERFORMANCE INDICATORS</t>
  </si>
  <si>
    <t xml:space="preserve">Total Revenue (FY)</t>
  </si>
  <si>
    <t xml:space="preserve">Total Expenses (FY)</t>
  </si>
  <si>
    <t xml:space="preserve">Net Profit (FY)</t>
  </si>
  <si>
    <t xml:space="preserve">Gross Profit Margin</t>
  </si>
  <si>
    <t xml:space="preserve">Net Profit Margin</t>
  </si>
  <si>
    <t xml:space="preserve">YoY Revenue Growth</t>
  </si>
  <si>
    <t xml:space="preserve">Best Month (Revenue)</t>
  </si>
  <si>
    <t xml:space="preserve">Worst Month (Revenue)</t>
  </si>
  <si>
    <t xml:space="preserve">Acme Co. — Visual Analysis | FY 2024</t>
  </si>
  <si>
    <t xml:space="preserve">Model Assumptions &amp; Documentation</t>
  </si>
  <si>
    <t xml:space="preserve">Assumption</t>
  </si>
  <si>
    <t xml:space="preserve">Value</t>
  </si>
  <si>
    <t xml:space="preserve">Notes</t>
  </si>
  <si>
    <t xml:space="preserve">Base Year</t>
  </si>
  <si>
    <t xml:space="preserve">2024</t>
  </si>
  <si>
    <t xml:space="preserve">Fiscal year January–December</t>
  </si>
  <si>
    <t xml:space="preserve">Currency</t>
  </si>
  <si>
    <t xml:space="preserve">USD</t>
  </si>
  <si>
    <t xml:space="preserve">All figures in US Dollars</t>
  </si>
  <si>
    <t xml:space="preserve">Revenue — Jan</t>
  </si>
  <si>
    <t xml:space="preserve">$52,000</t>
  </si>
  <si>
    <t xml:space="preserve">Blue cells = hardcoded inputs; update to refresh model</t>
  </si>
  <si>
    <t xml:space="preserve">Revenue — Dec</t>
  </si>
  <si>
    <t xml:space="preserve">$92,000</t>
  </si>
  <si>
    <t xml:space="preserve">COGS as % of Revenue</t>
  </si>
  <si>
    <t xml:space="preserve">~23%</t>
  </si>
  <si>
    <t xml:space="preserve">Calculated; not a hardcoded assumption</t>
  </si>
  <si>
    <t xml:space="preserve">Payroll growth / month</t>
  </si>
  <si>
    <t xml:space="preserve">~$250</t>
  </si>
  <si>
    <t xml:space="preserve">Approximate linear scale</t>
  </si>
  <si>
    <t xml:space="preserve">Marketing spend</t>
  </si>
  <si>
    <t xml:space="preserve">Variable</t>
  </si>
  <si>
    <t xml:space="preserve">Management discretion each month</t>
  </si>
  <si>
    <t xml:space="preserve">G&amp;A growth / month</t>
  </si>
  <si>
    <t xml:space="preserve">~$100</t>
  </si>
  <si>
    <t xml:space="preserve">Prior year data</t>
  </si>
  <si>
    <t xml:space="preserve">N/A</t>
  </si>
  <si>
    <t xml:space="preserve">YoY comparison requires prior year tab (not included)</t>
  </si>
  <si>
    <t xml:space="preserve">Depreciation / Amort.</t>
  </si>
  <si>
    <t xml:space="preserve">Not modeled</t>
  </si>
  <si>
    <t xml:space="preserve">Simplified P&amp;L; add D&amp;A line for full EBITDA bridge</t>
  </si>
  <si>
    <t xml:space="preserve">Tax rate</t>
  </si>
  <si>
    <t xml:space="preserve">Net profit shown pre-tax; add tax line for net income</t>
  </si>
  <si>
    <t xml:space="preserve">Color Coding Legend</t>
  </si>
  <si>
    <t xml:space="preserve">Blue text</t>
  </si>
  <si>
    <t xml:space="preserve">Hardcoded input — safe to change</t>
  </si>
  <si>
    <t xml:space="preserve">Black text</t>
  </si>
  <si>
    <t xml:space="preserve">Formula / calculated value — do not overwrite</t>
  </si>
  <si>
    <t xml:space="preserve">Yellow cell</t>
  </si>
  <si>
    <t xml:space="preserve">Key assumption — review before presenting</t>
  </si>
  <si>
    <t xml:space="preserve">Green text</t>
  </si>
  <si>
    <t xml:space="preserve">Positive metric / linked from another sheet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</si>
</sst>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003300"/>
      </patternFill>
    </fill>
    <fill>
      <patternFill patternType="solid">
        <fgColor rgb="FF2E75B6"/>
        <bgColor rgb="FF4978B1"/>
      </patternFill>
    </fill>
    <fill>
      <patternFill patternType="solid">
        <fgColor rgb="FFFFFFFF"/>
        <bgColor rgb="FFF9F9F9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ACAB4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ADC683"/>
      <rgbColor rgb="FF0000FF"/>
      <rgbColor rgb="FFFFFF00"/>
      <rgbColor rgb="FFDDB5B5"/>
      <rgbColor rgb="FF7E9BC7"/>
      <rgbColor rgb="FF800000"/>
      <rgbColor rgb="FF4978B1"/>
      <rgbColor rgb="FF000080"/>
      <rgbColor rgb="FF7A9346"/>
      <rgbColor rgb="FFCA7E7D"/>
      <rgbColor rgb="FF3B879C"/>
      <rgbColor rgb="FFBFBFBF"/>
      <rgbColor rgb="FF878787"/>
      <rgbColor rgb="FF8EA5CA"/>
      <rgbColor rgb="FFAA433F"/>
      <rgbColor rgb="FFF9F9F9"/>
      <rgbColor rgb="FFF2F2F2"/>
      <rgbColor rgb="FFA596B9"/>
      <rgbColor rgb="FFE78C41"/>
      <rgbColor rgb="FF0080FF"/>
      <rgbColor rgb="FFB5D4E0"/>
      <rgbColor rgb="FF000080"/>
      <rgbColor rgb="FFFF00FF"/>
      <rgbColor rgb="FFB3C992"/>
      <rgbColor rgb="FFB5C3DB"/>
      <rgbColor rgb="FFCC8F8E"/>
      <rgbColor rgb="FF800000"/>
      <rgbColor rgb="FF3D97AF"/>
      <rgbColor rgb="FF0000FF"/>
      <rgbColor rgb="FF7CBACF"/>
      <rgbColor rgb="FFD9E1F2"/>
      <rgbColor rgb="FFCCDAB7"/>
      <rgbColor rgb="FFD9D9D9"/>
      <rgbColor rgb="FF8CBFD2"/>
      <rgbColor rgb="FFF5B089"/>
      <rgbColor rgb="FFC2BACF"/>
      <rgbColor rgb="FFFACAB4"/>
      <rgbColor rgb="FF2E75B6"/>
      <rgbColor rgb="FF46A1B9"/>
      <rgbColor rgb="FF91AF53"/>
      <rgbColor rgb="FFF8AA7A"/>
      <rgbColor rgb="FFDB8238"/>
      <rgbColor rgb="FFC27637"/>
      <rgbColor rgb="FF775D97"/>
      <rgbColor rgb="FF9A89B2"/>
      <rgbColor rgb="FF1F3864"/>
      <rgbColor rgb="FF1D9E75"/>
      <rgbColor rgb="FF003300"/>
      <rgbColor rgb="FF87A44B"/>
      <rgbColor rgb="FF6F568D"/>
      <rgbColor rgb="FFB34A48"/>
      <rgbColor rgb="FF654E7F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vs. Net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d9e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Dashboard'!$B$6</c:f>
              <c:numCache>
                <c:formatCode>\$#,##0;"($"#,##0\);\-</c:formatCode>
                <c:ptCount val="1"/>
                <c:pt idx="0">
                  <c:v>52000</c:v>
                </c:pt>
              </c:numCache>
            </c:numRef>
          </c:val>
        </c:ser>
        <c:ser>
          <c:idx val="1"/>
          <c:order val="1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Dashboard'!$C$6</c:f>
              <c:numCache>
                <c:formatCode>\$#,##0;"($"#,##0\);\-</c:formatCode>
                <c:ptCount val="1"/>
                <c:pt idx="0">
                  <c:v>48000</c:v>
                </c:pt>
              </c:numCache>
            </c:numRef>
          </c:val>
        </c:ser>
        <c:ser>
          <c:idx val="2"/>
          <c:order val="2"/>
          <c:spPr>
            <a:solidFill>
              <a:srgbClr val="7a9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Dashboard'!$D$6</c:f>
              <c:numCache>
                <c:formatCode>\$#,##0;"($"#,##0\);\-</c:formatCode>
                <c:ptCount val="1"/>
                <c:pt idx="0">
                  <c:v>61000</c:v>
                </c:pt>
              </c:numCache>
            </c:numRef>
          </c:val>
        </c:ser>
        <c:ser>
          <c:idx val="3"/>
          <c:order val="3"/>
          <c:spPr>
            <a:solidFill>
              <a:srgbClr val="654e7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Dashboard'!$E$6</c:f>
              <c:numCache>
                <c:formatCode>\$#,##0;"($"#,##0\);\-</c:formatCode>
                <c:ptCount val="1"/>
                <c:pt idx="0">
                  <c:v>57000</c:v>
                </c:pt>
              </c:numCache>
            </c:numRef>
          </c:val>
        </c:ser>
        <c:ser>
          <c:idx val="4"/>
          <c:order val="4"/>
          <c:spPr>
            <a:solidFill>
              <a:srgbClr val="3b87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Dashboard'!$F$6</c:f>
              <c:numCache>
                <c:formatCode>\$#,##0;"($"#,##0\);\-</c:formatCode>
                <c:ptCount val="1"/>
                <c:pt idx="0">
                  <c:v>65000</c:v>
                </c:pt>
              </c:numCache>
            </c:numRef>
          </c:val>
        </c:ser>
        <c:ser>
          <c:idx val="5"/>
          <c:order val="5"/>
          <c:spPr>
            <a:solidFill>
              <a:srgbClr val="c2763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Dashboard'!$G$6</c:f>
              <c:numCache>
                <c:formatCode>\$#,##0;"($"#,##0\);\-</c:formatCode>
                <c:ptCount val="1"/>
                <c:pt idx="0">
                  <c:v>72000</c:v>
                </c:pt>
              </c:numCache>
            </c:numRef>
          </c:val>
        </c:ser>
        <c:ser>
          <c:idx val="6"/>
          <c:order val="6"/>
          <c:spPr>
            <a:solidFill>
              <a:srgbClr val="4978b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Dashboard'!$H$6</c:f>
              <c:numCache>
                <c:formatCode>\$#,##0;"($"#,##0\);\-</c:formatCode>
                <c:ptCount val="1"/>
                <c:pt idx="0">
                  <c:v>68000</c:v>
                </c:pt>
              </c:numCache>
            </c:numRef>
          </c:val>
        </c:ser>
        <c:ser>
          <c:idx val="7"/>
          <c:order val="7"/>
          <c:spPr>
            <a:solidFill>
              <a:srgbClr val="b34a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Dashboard'!$I$6</c:f>
              <c:numCache>
                <c:formatCode>\$#,##0;"($"#,##0\);\-</c:formatCode>
                <c:ptCount val="1"/>
                <c:pt idx="0">
                  <c:v>74000</c:v>
                </c:pt>
              </c:numCache>
            </c:numRef>
          </c:val>
        </c:ser>
        <c:ser>
          <c:idx val="8"/>
          <c:order val="8"/>
          <c:spPr>
            <a:solidFill>
              <a:srgbClr val="91af5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Dashboard'!$J$6</c:f>
              <c:numCache>
                <c:formatCode>\$#,##0;"($"#,##0\);\-</c:formatCode>
                <c:ptCount val="1"/>
                <c:pt idx="0">
                  <c:v>80000</c:v>
                </c:pt>
              </c:numCache>
            </c:numRef>
          </c:val>
        </c:ser>
        <c:ser>
          <c:idx val="9"/>
          <c:order val="9"/>
          <c:spPr>
            <a:solidFill>
              <a:srgbClr val="775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Dashboard'!$K$6</c:f>
              <c:numCache>
                <c:formatCode>\$#,##0;"($"#,##0\);\-</c:formatCode>
                <c:ptCount val="1"/>
                <c:pt idx="0">
                  <c:v>77000</c:v>
                </c:pt>
              </c:numCache>
            </c:numRef>
          </c:val>
        </c:ser>
        <c:ser>
          <c:idx val="10"/>
          <c:order val="10"/>
          <c:spPr>
            <a:solidFill>
              <a:srgbClr val="46a1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Dashboard'!$L$6</c:f>
              <c:numCache>
                <c:formatCode>\$#,##0;"($"#,##0\);\-</c:formatCode>
                <c:ptCount val="1"/>
                <c:pt idx="0">
                  <c:v>85000</c:v>
                </c:pt>
              </c:numCache>
            </c:numRef>
          </c:val>
        </c:ser>
        <c:ser>
          <c:idx val="11"/>
          <c:order val="11"/>
          <c:spPr>
            <a:solidFill>
              <a:srgbClr val="e78c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Dashboard'!$M$6</c:f>
              <c:numCache>
                <c:formatCode>\$#,##0;"($"#,##0\);\-</c:formatCode>
                <c:ptCount val="1"/>
                <c:pt idx="0">
                  <c:v>92000</c:v>
                </c:pt>
              </c:numCache>
            </c:numRef>
          </c:val>
        </c:ser>
        <c:ser>
          <c:idx val="12"/>
          <c:order val="12"/>
          <c:spPr>
            <a:solidFill>
              <a:srgbClr val="7e9bc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Dashboard'!$B$16</c:f>
              <c:numCache>
                <c:formatCode>\$#,##0;"($"#,##0\);\-</c:formatCode>
                <c:ptCount val="1"/>
                <c:pt idx="0">
                  <c:v>15000</c:v>
                </c:pt>
              </c:numCache>
            </c:numRef>
          </c:val>
        </c:ser>
        <c:ser>
          <c:idx val="13"/>
          <c:order val="13"/>
          <c:spPr>
            <a:solidFill>
              <a:srgbClr val="ca7e7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Dashboard'!$C$16</c:f>
              <c:numCache>
                <c:formatCode>\$#,##0;"($"#,##0\);\-</c:formatCode>
                <c:ptCount val="1"/>
                <c:pt idx="0">
                  <c:v>12500</c:v>
                </c:pt>
              </c:numCache>
            </c:numRef>
          </c:val>
        </c:ser>
        <c:ser>
          <c:idx val="14"/>
          <c:order val="14"/>
          <c:spPr>
            <a:solidFill>
              <a:srgbClr val="adc68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Dashboard'!$D$16</c:f>
              <c:numCache>
                <c:formatCode>\$#,##0;"($"#,##0\);\-</c:formatCode>
                <c:ptCount val="1"/>
                <c:pt idx="0">
                  <c:v>19800</c:v>
                </c:pt>
              </c:numCache>
            </c:numRef>
          </c:val>
        </c:ser>
        <c:ser>
          <c:idx val="15"/>
          <c:order val="15"/>
          <c:spPr>
            <a:solidFill>
              <a:srgbClr val="9a89b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Dashboard'!$E$16</c:f>
              <c:numCache>
                <c:formatCode>\$#,##0;"($"#,##0\);\-</c:formatCode>
                <c:ptCount val="1"/>
                <c:pt idx="0">
                  <c:v>17300</c:v>
                </c:pt>
              </c:numCache>
            </c:numRef>
          </c:val>
        </c:ser>
        <c:ser>
          <c:idx val="16"/>
          <c:order val="16"/>
          <c:spPr>
            <a:solidFill>
              <a:srgbClr val="7c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Dashboard'!$F$16</c:f>
              <c:numCache>
                <c:formatCode>\$#,##0;"($"#,##0\);\-</c:formatCode>
                <c:ptCount val="1"/>
                <c:pt idx="0">
                  <c:v>21100</c:v>
                </c:pt>
              </c:numCache>
            </c:numRef>
          </c:val>
        </c:ser>
        <c:ser>
          <c:idx val="17"/>
          <c:order val="17"/>
          <c:spPr>
            <a:solidFill>
              <a:srgbClr val="f8aa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Dashboard'!$G$16</c:f>
              <c:numCache>
                <c:formatCode>\$#,##0;"($"#,##0\);\-</c:formatCode>
                <c:ptCount val="1"/>
                <c:pt idx="0">
                  <c:v>24400</c:v>
                </c:pt>
              </c:numCache>
            </c:numRef>
          </c:val>
        </c:ser>
        <c:ser>
          <c:idx val="18"/>
          <c:order val="18"/>
          <c:spPr>
            <a:solidFill>
              <a:srgbClr val="b5c3d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Dashboard'!$H$16</c:f>
              <c:numCache>
                <c:formatCode>\$#,##0;"($"#,##0\);\-</c:formatCode>
                <c:ptCount val="1"/>
                <c:pt idx="0">
                  <c:v>21600</c:v>
                </c:pt>
              </c:numCache>
            </c:numRef>
          </c:val>
        </c:ser>
        <c:ser>
          <c:idx val="19"/>
          <c:order val="19"/>
          <c:spPr>
            <a:solidFill>
              <a:srgbClr val="ddb5b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Dashboard'!$I$16</c:f>
              <c:numCache>
                <c:formatCode>\$#,##0;"($"#,##0\);\-</c:formatCode>
                <c:ptCount val="1"/>
                <c:pt idx="0">
                  <c:v>25000</c:v>
                </c:pt>
              </c:numCache>
            </c:numRef>
          </c:val>
        </c:ser>
        <c:ser>
          <c:idx val="20"/>
          <c:order val="20"/>
          <c:spPr>
            <a:solidFill>
              <a:srgbClr val="ccdab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Dashboard'!$J$16</c:f>
              <c:numCache>
                <c:formatCode>\$#,##0;"($"#,##0\);\-</c:formatCode>
                <c:ptCount val="1"/>
                <c:pt idx="0">
                  <c:v>28400</c:v>
                </c:pt>
              </c:numCache>
            </c:numRef>
          </c:val>
        </c:ser>
        <c:ser>
          <c:idx val="21"/>
          <c:order val="21"/>
          <c:spPr>
            <a:solidFill>
              <a:srgbClr val="c2ba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Dashboard'!$K$16</c:f>
              <c:numCache>
                <c:formatCode>\$#,##0;"($"#,##0\);\-</c:formatCode>
                <c:ptCount val="1"/>
                <c:pt idx="0">
                  <c:v>25500</c:v>
                </c:pt>
              </c:numCache>
            </c:numRef>
          </c:val>
        </c:ser>
        <c:ser>
          <c:idx val="22"/>
          <c:order val="22"/>
          <c:spPr>
            <a:solidFill>
              <a:srgbClr val="b5d4e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Dashboard'!$L$16</c:f>
              <c:numCache>
                <c:formatCode>\$#,##0;"($"#,##0\);\-</c:formatCode>
                <c:ptCount val="1"/>
                <c:pt idx="0">
                  <c:v>30800</c:v>
                </c:pt>
              </c:numCache>
            </c:numRef>
          </c:val>
        </c:ser>
        <c:ser>
          <c:idx val="23"/>
          <c:order val="23"/>
          <c:spPr>
            <a:solidFill>
              <a:srgbClr val="faca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Dashboard'!$M$16</c:f>
              <c:numCache>
                <c:formatCode>\$#,##0;"($"#,##0\);\-</c:formatCode>
                <c:ptCount val="1"/>
                <c:pt idx="0">
                  <c:v>35000</c:v>
                </c:pt>
              </c:numCache>
            </c:numRef>
          </c:val>
        </c:ser>
        <c:gapWidth val="150"/>
        <c:overlap val="0"/>
        <c:axId val="85728177"/>
        <c:axId val="54862024"/>
      </c:barChart>
      <c:catAx>
        <c:axId val="85728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62024"/>
        <c:crosses val="autoZero"/>
        <c:auto val="1"/>
        <c:lblAlgn val="ctr"/>
        <c:lblOffset val="100"/>
        <c:noMultiLvlLbl val="0"/>
      </c:catAx>
      <c:valAx>
        <c:axId val="54862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28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Profit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Margin %"</c:f>
              <c:strCache>
                <c:ptCount val="1"/>
                <c:pt idx="0">
                  <c:v>Net Margin %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Dashboard'!$B$17</c:f>
              <c:numCache>
                <c:formatCode>0.0%;\(0.0%\);\-</c:formatCode>
                <c:ptCount val="1"/>
                <c:pt idx="0">
                  <c:v>0.288461538461538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Dashboard'!$C$17</c:f>
              <c:numCache>
                <c:formatCode>0.0%;\(0.0%\);\-</c:formatCode>
                <c:ptCount val="1"/>
                <c:pt idx="0">
                  <c:v>0.260416666666667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Dashboard'!$D$17</c:f>
              <c:numCache>
                <c:formatCode>0.0%;\(0.0%\);\-</c:formatCode>
                <c:ptCount val="1"/>
                <c:pt idx="0">
                  <c:v>0.324590163934426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Dashboard'!$E$17</c:f>
              <c:numCache>
                <c:formatCode>0.0%;\(0.0%\);\-</c:formatCode>
                <c:ptCount val="1"/>
                <c:pt idx="0">
                  <c:v>0.303508771929825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Dashboard'!$F$17</c:f>
              <c:numCache>
                <c:formatCode>0.0%;\(0.0%\);\-</c:formatCode>
                <c:ptCount val="1"/>
                <c:pt idx="0">
                  <c:v>0.324615384615385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Dashboard'!$G$17</c:f>
              <c:numCache>
                <c:formatCode>0.0%;\(0.0%\);\-</c:formatCode>
                <c:ptCount val="1"/>
                <c:pt idx="0">
                  <c:v>0.338888888888889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Dashboard'!$H$17</c:f>
              <c:numCache>
                <c:formatCode>0.0%;\(0.0%\);\-</c:formatCode>
                <c:ptCount val="1"/>
                <c:pt idx="0">
                  <c:v>0.317647058823529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Dashboard'!$I$17</c:f>
              <c:numCache>
                <c:formatCode>0.0%;\(0.0%\);\-</c:formatCode>
                <c:ptCount val="1"/>
                <c:pt idx="0">
                  <c:v>0.337837837837838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Dashboard'!$J$17</c:f>
              <c:numCache>
                <c:formatCode>0.0%;\(0.0%\);\-</c:formatCode>
                <c:ptCount val="1"/>
                <c:pt idx="0">
                  <c:v>0.355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4752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Dashboard'!$K$17</c:f>
              <c:numCache>
                <c:formatCode>0.0%;\(0.0%\);\-</c:formatCode>
                <c:ptCount val="1"/>
                <c:pt idx="0">
                  <c:v>0.331168831168831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4752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Dashboard'!$L$17</c:f>
              <c:numCache>
                <c:formatCode>0.0%;\(0.0%\);\-</c:formatCode>
                <c:ptCount val="1"/>
                <c:pt idx="0">
                  <c:v>0.362352941176471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4752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Dashboard'!$B$4:$M$4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'P&amp;L Dashboard'!$M$17</c:f>
              <c:numCache>
                <c:formatCode>0.0%;\(0.0%\);\-</c:formatCode>
                <c:ptCount val="1"/>
                <c:pt idx="0">
                  <c:v>0.380434782608696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735938"/>
        <c:axId val="58369521"/>
      </c:lineChart>
      <c:catAx>
        <c:axId val="667359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9521"/>
        <c:crosses val="autoZero"/>
        <c:auto val="1"/>
        <c:lblAlgn val="ctr"/>
        <c:lblOffset val="100"/>
        <c:noMultiLvlLbl val="0"/>
      </c:catAx>
      <c:valAx>
        <c:axId val="583695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35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28</xdr:row>
      <xdr:rowOff>86760</xdr:rowOff>
    </xdr:to>
    <xdr:graphicFrame>
      <xdr:nvGraphicFramePr>
        <xdr:cNvPr id="0" name="Chart 1"/>
        <xdr:cNvGraphicFramePr/>
      </xdr:nvGraphicFramePr>
      <xdr:xfrm>
        <a:off x="0" y="542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21</xdr:col>
      <xdr:colOff>581760</xdr:colOff>
      <xdr:row>28</xdr:row>
      <xdr:rowOff>86760</xdr:rowOff>
    </xdr:to>
    <xdr:graphicFrame>
      <xdr:nvGraphicFramePr>
        <xdr:cNvPr id="1" name="Chart 2"/>
        <xdr:cNvGraphicFramePr/>
      </xdr:nvGraphicFramePr>
      <xdr:xfrm>
        <a:off x="5503680" y="542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O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1"/>
    <col collapsed="false" customWidth="true" hidden="false" outlineLevel="0" max="15" min="15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</row>
    <row r="3" customFormat="false" ht="15" hidden="false" customHeight="false" outlineLevel="0" collapsed="false">
      <c r="A3" s="4" t="s">
        <v>16</v>
      </c>
      <c r="B3" s="5" t="n">
        <v>52000</v>
      </c>
      <c r="C3" s="5" t="n">
        <v>48000</v>
      </c>
      <c r="D3" s="5" t="n">
        <v>61000</v>
      </c>
      <c r="E3" s="5" t="n">
        <v>57000</v>
      </c>
      <c r="F3" s="5" t="n">
        <v>65000</v>
      </c>
      <c r="G3" s="5" t="n">
        <v>72000</v>
      </c>
      <c r="H3" s="5" t="n">
        <v>68000</v>
      </c>
      <c r="I3" s="5" t="n">
        <v>74000</v>
      </c>
      <c r="J3" s="5" t="n">
        <v>80000</v>
      </c>
      <c r="K3" s="5" t="n">
        <v>77000</v>
      </c>
      <c r="L3" s="5" t="n">
        <v>85000</v>
      </c>
      <c r="M3" s="5" t="n">
        <v>92000</v>
      </c>
      <c r="N3" s="6" t="n">
        <f aca="false">SUM(B3:M3)</f>
        <v>831000</v>
      </c>
      <c r="O3" s="7" t="s">
        <v>17</v>
      </c>
    </row>
    <row r="4" customFormat="false" ht="15" hidden="false" customHeight="false" outlineLevel="0" collapsed="false">
      <c r="A4" s="8" t="s">
        <v>18</v>
      </c>
      <c r="B4" s="9" t="n">
        <v>18000</v>
      </c>
      <c r="C4" s="9" t="n">
        <v>18000</v>
      </c>
      <c r="D4" s="9" t="n">
        <v>19000</v>
      </c>
      <c r="E4" s="9" t="n">
        <v>19000</v>
      </c>
      <c r="F4" s="9" t="n">
        <v>20000</v>
      </c>
      <c r="G4" s="9" t="n">
        <v>21000</v>
      </c>
      <c r="H4" s="9" t="n">
        <v>21000</v>
      </c>
      <c r="I4" s="9" t="n">
        <v>22000</v>
      </c>
      <c r="J4" s="9" t="n">
        <v>22000</v>
      </c>
      <c r="K4" s="9" t="n">
        <v>23000</v>
      </c>
      <c r="L4" s="9" t="n">
        <v>23000</v>
      </c>
      <c r="M4" s="9" t="n">
        <v>24000</v>
      </c>
      <c r="N4" s="10" t="n">
        <f aca="false">SUM(B4:M4)</f>
        <v>250000</v>
      </c>
      <c r="O4" s="7" t="s">
        <v>17</v>
      </c>
    </row>
    <row r="5" customFormat="false" ht="15" hidden="false" customHeight="false" outlineLevel="0" collapsed="false">
      <c r="A5" s="4" t="s">
        <v>19</v>
      </c>
      <c r="B5" s="11" t="n">
        <v>12000</v>
      </c>
      <c r="C5" s="11" t="n">
        <v>11000</v>
      </c>
      <c r="D5" s="11" t="n">
        <v>14000</v>
      </c>
      <c r="E5" s="11" t="n">
        <v>13000</v>
      </c>
      <c r="F5" s="11" t="n">
        <v>15000</v>
      </c>
      <c r="G5" s="11" t="n">
        <v>17000</v>
      </c>
      <c r="H5" s="11" t="n">
        <v>16000</v>
      </c>
      <c r="I5" s="11" t="n">
        <v>17000</v>
      </c>
      <c r="J5" s="11" t="n">
        <v>19000</v>
      </c>
      <c r="K5" s="11" t="n">
        <v>18000</v>
      </c>
      <c r="L5" s="11" t="n">
        <v>20000</v>
      </c>
      <c r="M5" s="11" t="n">
        <v>21000</v>
      </c>
      <c r="N5" s="6" t="n">
        <f aca="false">SUM(B5:M5)</f>
        <v>193000</v>
      </c>
      <c r="O5" s="7" t="s">
        <v>17</v>
      </c>
    </row>
    <row r="6" customFormat="false" ht="15" hidden="false" customHeight="false" outlineLevel="0" collapsed="false">
      <c r="A6" s="8" t="s">
        <v>20</v>
      </c>
      <c r="B6" s="9" t="n">
        <v>4000</v>
      </c>
      <c r="C6" s="9" t="n">
        <v>3500</v>
      </c>
      <c r="D6" s="9" t="n">
        <v>5000</v>
      </c>
      <c r="E6" s="9" t="n">
        <v>4500</v>
      </c>
      <c r="F6" s="9" t="n">
        <v>5500</v>
      </c>
      <c r="G6" s="9" t="n">
        <v>6000</v>
      </c>
      <c r="H6" s="9" t="n">
        <v>5800</v>
      </c>
      <c r="I6" s="9" t="n">
        <v>6200</v>
      </c>
      <c r="J6" s="9" t="n">
        <v>6800</v>
      </c>
      <c r="K6" s="9" t="n">
        <v>6500</v>
      </c>
      <c r="L6" s="9" t="n">
        <v>7200</v>
      </c>
      <c r="M6" s="9" t="n">
        <v>7800</v>
      </c>
      <c r="N6" s="10" t="n">
        <f aca="false">SUM(B6:M6)</f>
        <v>68800</v>
      </c>
      <c r="O6" s="7" t="s">
        <v>17</v>
      </c>
    </row>
    <row r="7" customFormat="false" ht="15" hidden="false" customHeight="false" outlineLevel="0" collapsed="false">
      <c r="A7" s="4" t="s">
        <v>21</v>
      </c>
      <c r="B7" s="11" t="n">
        <v>3000</v>
      </c>
      <c r="C7" s="11" t="n">
        <v>3000</v>
      </c>
      <c r="D7" s="11" t="n">
        <v>3200</v>
      </c>
      <c r="E7" s="11" t="n">
        <v>3200</v>
      </c>
      <c r="F7" s="11" t="n">
        <v>3400</v>
      </c>
      <c r="G7" s="11" t="n">
        <v>3600</v>
      </c>
      <c r="H7" s="11" t="n">
        <v>3600</v>
      </c>
      <c r="I7" s="11" t="n">
        <v>3800</v>
      </c>
      <c r="J7" s="11" t="n">
        <v>3800</v>
      </c>
      <c r="K7" s="11" t="n">
        <v>4000</v>
      </c>
      <c r="L7" s="11" t="n">
        <v>4000</v>
      </c>
      <c r="M7" s="11" t="n">
        <v>4200</v>
      </c>
      <c r="N7" s="6" t="n">
        <f aca="false">SUM(B7:M7)</f>
        <v>42800</v>
      </c>
      <c r="O7" s="7" t="s">
        <v>17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0"/>
    <col collapsed="false" customWidth="true" hidden="false" outlineLevel="0" max="15" min="14" style="0" width="12"/>
  </cols>
  <sheetData>
    <row r="1" customFormat="false" ht="31.5" hidden="false" customHeight="true" outlineLevel="0" collapsed="false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.75" hidden="false" customHeight="true" outlineLevel="0" collapsed="false">
      <c r="A2" s="13" t="s">
        <v>23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customFormat="false" ht="19.5" hidden="false" customHeight="true" outlineLevel="0" collapsed="false">
      <c r="A4" s="2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24</v>
      </c>
    </row>
    <row r="5" customFormat="false" ht="18" hidden="false" customHeight="true" outlineLevel="0" collapsed="false">
      <c r="A5" s="14" t="s">
        <v>25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customFormat="false" ht="15" hidden="false" customHeight="false" outlineLevel="0" collapsed="false">
      <c r="A6" s="15" t="s">
        <v>26</v>
      </c>
      <c r="B6" s="16" t="n">
        <v>52000</v>
      </c>
      <c r="C6" s="16" t="n">
        <v>48000</v>
      </c>
      <c r="D6" s="16" t="n">
        <v>61000</v>
      </c>
      <c r="E6" s="16" t="n">
        <v>57000</v>
      </c>
      <c r="F6" s="16" t="n">
        <v>65000</v>
      </c>
      <c r="G6" s="16" t="n">
        <v>72000</v>
      </c>
      <c r="H6" s="16" t="n">
        <v>68000</v>
      </c>
      <c r="I6" s="16" t="n">
        <v>74000</v>
      </c>
      <c r="J6" s="16" t="n">
        <v>80000</v>
      </c>
      <c r="K6" s="16" t="n">
        <v>77000</v>
      </c>
      <c r="L6" s="16" t="n">
        <v>85000</v>
      </c>
      <c r="M6" s="16" t="n">
        <v>92000</v>
      </c>
      <c r="N6" s="17" t="n">
        <f aca="false">SUM(B6:M6)</f>
        <v>831000</v>
      </c>
      <c r="O6" s="18" t="n">
        <v>1</v>
      </c>
    </row>
    <row r="7" customFormat="false" ht="18" hidden="false" customHeight="true" outlineLevel="0" collapsed="false">
      <c r="A7" s="14" t="s">
        <v>27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customFormat="false" ht="15" hidden="false" customHeight="false" outlineLevel="0" collapsed="false">
      <c r="A8" s="19" t="s">
        <v>28</v>
      </c>
      <c r="B8" s="20" t="n">
        <v>12000</v>
      </c>
      <c r="C8" s="20" t="n">
        <v>11000</v>
      </c>
      <c r="D8" s="20" t="n">
        <v>14000</v>
      </c>
      <c r="E8" s="20" t="n">
        <v>13000</v>
      </c>
      <c r="F8" s="20" t="n">
        <v>15000</v>
      </c>
      <c r="G8" s="20" t="n">
        <v>17000</v>
      </c>
      <c r="H8" s="20" t="n">
        <v>16000</v>
      </c>
      <c r="I8" s="20" t="n">
        <v>17000</v>
      </c>
      <c r="J8" s="20" t="n">
        <v>19000</v>
      </c>
      <c r="K8" s="20" t="n">
        <v>18000</v>
      </c>
      <c r="L8" s="20" t="n">
        <v>20000</v>
      </c>
      <c r="M8" s="20" t="n">
        <v>21000</v>
      </c>
      <c r="N8" s="21" t="n">
        <f aca="false">SUM(B8:M8)</f>
        <v>193000</v>
      </c>
      <c r="O8" s="22" t="n">
        <f aca="false">N8/N6</f>
        <v>0.232250300842359</v>
      </c>
    </row>
    <row r="9" customFormat="false" ht="15" hidden="false" customHeight="false" outlineLevel="0" collapsed="false">
      <c r="A9" s="4" t="s">
        <v>29</v>
      </c>
      <c r="B9" s="6" t="n">
        <f aca="false">B6-B8</f>
        <v>40000</v>
      </c>
      <c r="C9" s="6" t="n">
        <f aca="false">C6-C8</f>
        <v>37000</v>
      </c>
      <c r="D9" s="6" t="n">
        <f aca="false">D6-D8</f>
        <v>47000</v>
      </c>
      <c r="E9" s="6" t="n">
        <f aca="false">E6-E8</f>
        <v>44000</v>
      </c>
      <c r="F9" s="6" t="n">
        <f aca="false">F6-F8</f>
        <v>50000</v>
      </c>
      <c r="G9" s="6" t="n">
        <f aca="false">G6-G8</f>
        <v>55000</v>
      </c>
      <c r="H9" s="6" t="n">
        <f aca="false">H6-H8</f>
        <v>52000</v>
      </c>
      <c r="I9" s="6" t="n">
        <f aca="false">I6-I8</f>
        <v>57000</v>
      </c>
      <c r="J9" s="6" t="n">
        <f aca="false">J6-J8</f>
        <v>61000</v>
      </c>
      <c r="K9" s="6" t="n">
        <f aca="false">K6-K8</f>
        <v>59000</v>
      </c>
      <c r="L9" s="6" t="n">
        <f aca="false">L6-L8</f>
        <v>65000</v>
      </c>
      <c r="M9" s="6" t="n">
        <f aca="false">M6-M8</f>
        <v>71000</v>
      </c>
      <c r="N9" s="6" t="n">
        <f aca="false">N6-N8</f>
        <v>638000</v>
      </c>
      <c r="O9" s="18" t="n">
        <f aca="false">N9/N6</f>
        <v>0.767749699157641</v>
      </c>
    </row>
    <row r="10" customFormat="false" ht="18" hidden="false" customHeight="true" outlineLevel="0" collapsed="false">
      <c r="A10" s="14" t="s">
        <v>30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customFormat="false" ht="15" hidden="false" customHeight="false" outlineLevel="0" collapsed="false">
      <c r="A11" s="23" t="s">
        <v>31</v>
      </c>
      <c r="B11" s="24" t="n">
        <v>18000</v>
      </c>
      <c r="C11" s="24" t="n">
        <v>18000</v>
      </c>
      <c r="D11" s="24" t="n">
        <v>19000</v>
      </c>
      <c r="E11" s="24" t="n">
        <v>19000</v>
      </c>
      <c r="F11" s="24" t="n">
        <v>20000</v>
      </c>
      <c r="G11" s="24" t="n">
        <v>21000</v>
      </c>
      <c r="H11" s="24" t="n">
        <v>21000</v>
      </c>
      <c r="I11" s="24" t="n">
        <v>22000</v>
      </c>
      <c r="J11" s="24" t="n">
        <v>22000</v>
      </c>
      <c r="K11" s="24" t="n">
        <v>23000</v>
      </c>
      <c r="L11" s="24" t="n">
        <v>23000</v>
      </c>
      <c r="M11" s="24" t="n">
        <v>24000</v>
      </c>
      <c r="N11" s="25" t="n">
        <f aca="false">SUM(B11:M11)</f>
        <v>250000</v>
      </c>
      <c r="O11" s="26" t="n">
        <f aca="false">N11/N6</f>
        <v>0.300842358604092</v>
      </c>
    </row>
    <row r="12" customFormat="false" ht="15" hidden="false" customHeight="false" outlineLevel="0" collapsed="false">
      <c r="A12" s="19" t="s">
        <v>32</v>
      </c>
      <c r="B12" s="20" t="n">
        <v>4000</v>
      </c>
      <c r="C12" s="20" t="n">
        <v>3500</v>
      </c>
      <c r="D12" s="20" t="n">
        <v>5000</v>
      </c>
      <c r="E12" s="20" t="n">
        <v>4500</v>
      </c>
      <c r="F12" s="20" t="n">
        <v>5500</v>
      </c>
      <c r="G12" s="20" t="n">
        <v>6000</v>
      </c>
      <c r="H12" s="20" t="n">
        <v>5800</v>
      </c>
      <c r="I12" s="20" t="n">
        <v>6200</v>
      </c>
      <c r="J12" s="20" t="n">
        <v>6800</v>
      </c>
      <c r="K12" s="20" t="n">
        <v>6500</v>
      </c>
      <c r="L12" s="20" t="n">
        <v>7200</v>
      </c>
      <c r="M12" s="20" t="n">
        <v>7800</v>
      </c>
      <c r="N12" s="21" t="n">
        <f aca="false">SUM(B12:M12)</f>
        <v>68800</v>
      </c>
      <c r="O12" s="22" t="n">
        <f aca="false">N12/N6</f>
        <v>0.082791817087846</v>
      </c>
    </row>
    <row r="13" customFormat="false" ht="15" hidden="false" customHeight="false" outlineLevel="0" collapsed="false">
      <c r="A13" s="23" t="s">
        <v>33</v>
      </c>
      <c r="B13" s="24" t="n">
        <v>3000</v>
      </c>
      <c r="C13" s="24" t="n">
        <v>3000</v>
      </c>
      <c r="D13" s="24" t="n">
        <v>3200</v>
      </c>
      <c r="E13" s="24" t="n">
        <v>3200</v>
      </c>
      <c r="F13" s="24" t="n">
        <v>3400</v>
      </c>
      <c r="G13" s="24" t="n">
        <v>3600</v>
      </c>
      <c r="H13" s="24" t="n">
        <v>3600</v>
      </c>
      <c r="I13" s="24" t="n">
        <v>3800</v>
      </c>
      <c r="J13" s="24" t="n">
        <v>3800</v>
      </c>
      <c r="K13" s="24" t="n">
        <v>4000</v>
      </c>
      <c r="L13" s="24" t="n">
        <v>4000</v>
      </c>
      <c r="M13" s="24" t="n">
        <v>4200</v>
      </c>
      <c r="N13" s="25" t="n">
        <f aca="false">SUM(B13:M13)</f>
        <v>42800</v>
      </c>
      <c r="O13" s="26" t="n">
        <f aca="false">N13/N6</f>
        <v>0.0515042117930205</v>
      </c>
    </row>
    <row r="14" customFormat="false" ht="15" hidden="false" customHeight="false" outlineLevel="0" collapsed="false">
      <c r="A14" s="8" t="s">
        <v>34</v>
      </c>
      <c r="B14" s="10" t="n">
        <f aca="false">SUM(B11:B13)</f>
        <v>25000</v>
      </c>
      <c r="C14" s="10" t="n">
        <f aca="false">SUM(C11:C13)</f>
        <v>24500</v>
      </c>
      <c r="D14" s="10" t="n">
        <f aca="false">SUM(D11:D13)</f>
        <v>27200</v>
      </c>
      <c r="E14" s="10" t="n">
        <f aca="false">SUM(E11:E13)</f>
        <v>26700</v>
      </c>
      <c r="F14" s="10" t="n">
        <f aca="false">SUM(F11:F13)</f>
        <v>28900</v>
      </c>
      <c r="G14" s="10" t="n">
        <f aca="false">SUM(G11:G13)</f>
        <v>30600</v>
      </c>
      <c r="H14" s="10" t="n">
        <f aca="false">SUM(H11:H13)</f>
        <v>30400</v>
      </c>
      <c r="I14" s="10" t="n">
        <f aca="false">SUM(I11:I13)</f>
        <v>32000</v>
      </c>
      <c r="J14" s="10" t="n">
        <f aca="false">SUM(J11:J13)</f>
        <v>32600</v>
      </c>
      <c r="K14" s="10" t="n">
        <f aca="false">SUM(K11:K13)</f>
        <v>33500</v>
      </c>
      <c r="L14" s="10" t="n">
        <f aca="false">SUM(L11:L13)</f>
        <v>34200</v>
      </c>
      <c r="M14" s="10" t="n">
        <f aca="false">SUM(M11:M13)</f>
        <v>36000</v>
      </c>
      <c r="N14" s="10" t="n">
        <f aca="false">SUM(N11:N13)</f>
        <v>361600</v>
      </c>
      <c r="O14" s="27" t="n">
        <f aca="false">N14/N6</f>
        <v>0.435138387484958</v>
      </c>
    </row>
    <row r="15" customFormat="false" ht="6" hidden="false" customHeight="true" outlineLevel="0" collapsed="false"/>
    <row r="16" customFormat="false" ht="15" hidden="false" customHeight="false" outlineLevel="0" collapsed="false">
      <c r="A16" s="28" t="s">
        <v>35</v>
      </c>
      <c r="B16" s="29" t="n">
        <f aca="false">B9-B14</f>
        <v>15000</v>
      </c>
      <c r="C16" s="29" t="n">
        <f aca="false">C9-C14</f>
        <v>12500</v>
      </c>
      <c r="D16" s="29" t="n">
        <f aca="false">D9-D14</f>
        <v>19800</v>
      </c>
      <c r="E16" s="29" t="n">
        <f aca="false">E9-E14</f>
        <v>17300</v>
      </c>
      <c r="F16" s="29" t="n">
        <f aca="false">F9-F14</f>
        <v>21100</v>
      </c>
      <c r="G16" s="29" t="n">
        <f aca="false">G9-G14</f>
        <v>24400</v>
      </c>
      <c r="H16" s="29" t="n">
        <f aca="false">H9-H14</f>
        <v>21600</v>
      </c>
      <c r="I16" s="29" t="n">
        <f aca="false">I9-I14</f>
        <v>25000</v>
      </c>
      <c r="J16" s="29" t="n">
        <f aca="false">J9-J14</f>
        <v>28400</v>
      </c>
      <c r="K16" s="29" t="n">
        <f aca="false">K9-K14</f>
        <v>25500</v>
      </c>
      <c r="L16" s="29" t="n">
        <f aca="false">L9-L14</f>
        <v>30800</v>
      </c>
      <c r="M16" s="29" t="n">
        <f aca="false">M9-M14</f>
        <v>35000</v>
      </c>
      <c r="N16" s="29" t="n">
        <f aca="false">N9-N14</f>
        <v>276400</v>
      </c>
      <c r="O16" s="30" t="n">
        <f aca="false">N16/N6</f>
        <v>0.332611311672684</v>
      </c>
    </row>
    <row r="17" customFormat="false" ht="15" hidden="false" customHeight="false" outlineLevel="0" collapsed="false">
      <c r="A17" s="31" t="s">
        <v>36</v>
      </c>
      <c r="B17" s="32" t="n">
        <f aca="false">B16/B6</f>
        <v>0.288461538461538</v>
      </c>
      <c r="C17" s="32" t="n">
        <f aca="false">C16/C6</f>
        <v>0.260416666666667</v>
      </c>
      <c r="D17" s="32" t="n">
        <f aca="false">D16/D6</f>
        <v>0.324590163934426</v>
      </c>
      <c r="E17" s="32" t="n">
        <f aca="false">E16/E6</f>
        <v>0.303508771929825</v>
      </c>
      <c r="F17" s="32" t="n">
        <f aca="false">F16/F6</f>
        <v>0.324615384615385</v>
      </c>
      <c r="G17" s="32" t="n">
        <f aca="false">G16/G6</f>
        <v>0.338888888888889</v>
      </c>
      <c r="H17" s="32" t="n">
        <f aca="false">H16/H6</f>
        <v>0.317647058823529</v>
      </c>
      <c r="I17" s="32" t="n">
        <f aca="false">I16/I6</f>
        <v>0.337837837837838</v>
      </c>
      <c r="J17" s="32" t="n">
        <f aca="false">J16/J6</f>
        <v>0.355</v>
      </c>
      <c r="K17" s="32" t="n">
        <f aca="false">K16/K6</f>
        <v>0.331168831168831</v>
      </c>
      <c r="L17" s="32" t="n">
        <f aca="false">L16/L6</f>
        <v>0.362352941176471</v>
      </c>
      <c r="M17" s="32" t="n">
        <f aca="false">M16/M6</f>
        <v>0.380434782608696</v>
      </c>
      <c r="N17" s="33" t="n">
        <f aca="false">N16/N6</f>
        <v>0.332611311672684</v>
      </c>
    </row>
    <row r="18" customFormat="false" ht="15" hidden="false" customHeight="false" outlineLevel="0" collapsed="false">
      <c r="A18" s="34" t="s">
        <v>37</v>
      </c>
      <c r="B18" s="35" t="s">
        <v>38</v>
      </c>
      <c r="C18" s="26" t="n">
        <f aca="false">(C6-B6)/B6</f>
        <v>-0.0769230769230769</v>
      </c>
      <c r="D18" s="26" t="n">
        <f aca="false">(D6-C6)/C6</f>
        <v>0.270833333333333</v>
      </c>
      <c r="E18" s="26" t="n">
        <f aca="false">(E6-D6)/D6</f>
        <v>-0.0655737704918033</v>
      </c>
      <c r="F18" s="26" t="n">
        <f aca="false">(F6-E6)/E6</f>
        <v>0.140350877192982</v>
      </c>
      <c r="G18" s="26" t="n">
        <f aca="false">(G6-F6)/F6</f>
        <v>0.107692307692308</v>
      </c>
      <c r="H18" s="26" t="n">
        <f aca="false">(H6-G6)/G6</f>
        <v>-0.0555555555555556</v>
      </c>
      <c r="I18" s="26" t="n">
        <f aca="false">(I6-H6)/H6</f>
        <v>0.0882352941176471</v>
      </c>
      <c r="J18" s="26" t="n">
        <f aca="false">(J6-I6)/I6</f>
        <v>0.0810810810810811</v>
      </c>
      <c r="K18" s="26" t="n">
        <f aca="false">(K6-J6)/J6</f>
        <v>-0.0375</v>
      </c>
      <c r="L18" s="26" t="n">
        <f aca="false">(L6-K6)/K6</f>
        <v>0.103896103896104</v>
      </c>
      <c r="M18" s="26" t="n">
        <f aca="false">(M6-L6)/L6</f>
        <v>0.0823529411764706</v>
      </c>
      <c r="N18" s="18" t="n">
        <f aca="false">(M6-B6)/B6</f>
        <v>0.769230769230769</v>
      </c>
    </row>
    <row r="20" customFormat="false" ht="18" hidden="false" customHeight="true" outlineLevel="0" collapsed="false">
      <c r="A20" s="14" t="s">
        <v>39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customFormat="false" ht="15" hidden="false" customHeight="false" outlineLevel="0" collapsed="false">
      <c r="A21" s="36" t="s">
        <v>40</v>
      </c>
      <c r="B21" s="36"/>
      <c r="C21" s="36"/>
      <c r="D21" s="36"/>
      <c r="E21" s="36"/>
      <c r="F21" s="36"/>
      <c r="G21" s="36"/>
      <c r="H21" s="37" t="n">
        <f aca="false">N6</f>
        <v>831000</v>
      </c>
      <c r="I21" s="37"/>
      <c r="J21" s="37"/>
      <c r="K21" s="37"/>
      <c r="L21" s="37"/>
      <c r="M21" s="37"/>
      <c r="N21" s="37"/>
    </row>
    <row r="22" customFormat="false" ht="15" hidden="false" customHeight="false" outlineLevel="0" collapsed="false">
      <c r="A22" s="38" t="s">
        <v>41</v>
      </c>
      <c r="B22" s="38"/>
      <c r="C22" s="38"/>
      <c r="D22" s="38"/>
      <c r="E22" s="38"/>
      <c r="F22" s="38"/>
      <c r="G22" s="38"/>
      <c r="H22" s="39" t="n">
        <f aca="false">N8+N14</f>
        <v>554600</v>
      </c>
      <c r="I22" s="39"/>
      <c r="J22" s="39"/>
      <c r="K22" s="39"/>
      <c r="L22" s="39"/>
      <c r="M22" s="39"/>
      <c r="N22" s="39"/>
    </row>
    <row r="23" customFormat="false" ht="15" hidden="false" customHeight="false" outlineLevel="0" collapsed="false">
      <c r="A23" s="36" t="s">
        <v>42</v>
      </c>
      <c r="B23" s="36"/>
      <c r="C23" s="36"/>
      <c r="D23" s="36"/>
      <c r="E23" s="36"/>
      <c r="F23" s="36"/>
      <c r="G23" s="36"/>
      <c r="H23" s="40" t="n">
        <f aca="false">N16</f>
        <v>276400</v>
      </c>
      <c r="I23" s="40"/>
      <c r="J23" s="40"/>
      <c r="K23" s="40"/>
      <c r="L23" s="40"/>
      <c r="M23" s="40"/>
      <c r="N23" s="40"/>
    </row>
    <row r="24" customFormat="false" ht="15" hidden="false" customHeight="false" outlineLevel="0" collapsed="false">
      <c r="A24" s="38" t="s">
        <v>43</v>
      </c>
      <c r="B24" s="38"/>
      <c r="C24" s="38"/>
      <c r="D24" s="38"/>
      <c r="E24" s="38"/>
      <c r="F24" s="38"/>
      <c r="G24" s="38"/>
      <c r="H24" s="41" t="n">
        <f aca="false">N9/N6</f>
        <v>0.767749699157641</v>
      </c>
      <c r="I24" s="41"/>
      <c r="J24" s="41"/>
      <c r="K24" s="41"/>
      <c r="L24" s="41"/>
      <c r="M24" s="41"/>
      <c r="N24" s="41"/>
    </row>
    <row r="25" customFormat="false" ht="15" hidden="false" customHeight="false" outlineLevel="0" collapsed="false">
      <c r="A25" s="36" t="s">
        <v>44</v>
      </c>
      <c r="B25" s="36"/>
      <c r="C25" s="36"/>
      <c r="D25" s="36"/>
      <c r="E25" s="36"/>
      <c r="F25" s="36"/>
      <c r="G25" s="36"/>
      <c r="H25" s="42" t="n">
        <f aca="false">N16/N6</f>
        <v>0.332611311672684</v>
      </c>
      <c r="I25" s="42"/>
      <c r="J25" s="42"/>
      <c r="K25" s="42"/>
      <c r="L25" s="42"/>
      <c r="M25" s="42"/>
      <c r="N25" s="42"/>
    </row>
    <row r="26" customFormat="false" ht="15" hidden="false" customHeight="false" outlineLevel="0" collapsed="false">
      <c r="A26" s="38" t="s">
        <v>45</v>
      </c>
      <c r="B26" s="38"/>
      <c r="C26" s="38"/>
      <c r="D26" s="38"/>
      <c r="E26" s="38"/>
      <c r="F26" s="38"/>
      <c r="G26" s="38"/>
      <c r="H26" s="41" t="n">
        <f aca="false">(M6-B6)/B6</f>
        <v>0.769230769230769</v>
      </c>
      <c r="I26" s="41"/>
      <c r="J26" s="41"/>
      <c r="K26" s="41"/>
      <c r="L26" s="41"/>
      <c r="M26" s="41"/>
      <c r="N26" s="41"/>
    </row>
    <row r="27" customFormat="false" ht="15" hidden="false" customHeight="false" outlineLevel="0" collapsed="false">
      <c r="A27" s="36" t="s">
        <v>46</v>
      </c>
      <c r="B27" s="36"/>
      <c r="C27" s="36"/>
      <c r="D27" s="36"/>
      <c r="E27" s="36"/>
      <c r="F27" s="36"/>
      <c r="G27" s="36"/>
      <c r="H27" s="37" t="n">
        <f aca="false">MAX(B6:M6)</f>
        <v>92000</v>
      </c>
      <c r="I27" s="37"/>
      <c r="J27" s="37"/>
      <c r="K27" s="37"/>
      <c r="L27" s="37"/>
      <c r="M27" s="37"/>
      <c r="N27" s="37"/>
    </row>
    <row r="28" customFormat="false" ht="15" hidden="false" customHeight="false" outlineLevel="0" collapsed="false">
      <c r="A28" s="38" t="s">
        <v>47</v>
      </c>
      <c r="B28" s="38"/>
      <c r="C28" s="38"/>
      <c r="D28" s="38"/>
      <c r="E28" s="38"/>
      <c r="F28" s="38"/>
      <c r="G28" s="38"/>
      <c r="H28" s="39" t="n">
        <f aca="false">MIN(B6:M6)</f>
        <v>48000</v>
      </c>
      <c r="I28" s="39"/>
      <c r="J28" s="39"/>
      <c r="K28" s="39"/>
      <c r="L28" s="39"/>
      <c r="M28" s="39"/>
      <c r="N28" s="39"/>
    </row>
  </sheetData>
  <mergeCells count="22">
    <mergeCell ref="A1:O1"/>
    <mergeCell ref="A2:O2"/>
    <mergeCell ref="A5:O5"/>
    <mergeCell ref="A7:O7"/>
    <mergeCell ref="A10:O10"/>
    <mergeCell ref="A20:O20"/>
    <mergeCell ref="A21:G21"/>
    <mergeCell ref="H21:N21"/>
    <mergeCell ref="A22:G22"/>
    <mergeCell ref="H22:N22"/>
    <mergeCell ref="A23:G23"/>
    <mergeCell ref="H23:N23"/>
    <mergeCell ref="A24:G24"/>
    <mergeCell ref="H24:N24"/>
    <mergeCell ref="A25:G25"/>
    <mergeCell ref="H25:N25"/>
    <mergeCell ref="A26:G26"/>
    <mergeCell ref="H26:N26"/>
    <mergeCell ref="A27:G27"/>
    <mergeCell ref="H27:N27"/>
    <mergeCell ref="A28:G28"/>
    <mergeCell ref="H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27.75" hidden="false" customHeight="true" outlineLevel="0" collapsed="false">
      <c r="A1" s="1" t="s">
        <v>49</v>
      </c>
      <c r="B1" s="1"/>
      <c r="C1" s="1"/>
    </row>
    <row r="2" customFormat="false" ht="15" hidden="false" customHeight="false" outlineLevel="0" collapsed="false">
      <c r="A2" s="2" t="s">
        <v>50</v>
      </c>
      <c r="B2" s="2" t="s">
        <v>51</v>
      </c>
      <c r="C2" s="2" t="s">
        <v>52</v>
      </c>
    </row>
    <row r="3" customFormat="false" ht="15" hidden="false" customHeight="false" outlineLevel="0" collapsed="false">
      <c r="A3" s="43" t="s">
        <v>53</v>
      </c>
      <c r="B3" s="44" t="s">
        <v>54</v>
      </c>
      <c r="C3" s="45" t="s">
        <v>55</v>
      </c>
    </row>
    <row r="4" customFormat="false" ht="15" hidden="false" customHeight="false" outlineLevel="0" collapsed="false">
      <c r="A4" s="46" t="s">
        <v>56</v>
      </c>
      <c r="B4" s="44" t="s">
        <v>57</v>
      </c>
      <c r="C4" s="47" t="s">
        <v>58</v>
      </c>
    </row>
    <row r="5" customFormat="false" ht="15" hidden="false" customHeight="false" outlineLevel="0" collapsed="false">
      <c r="A5" s="43" t="s">
        <v>59</v>
      </c>
      <c r="B5" s="44" t="s">
        <v>60</v>
      </c>
      <c r="C5" s="45" t="s">
        <v>61</v>
      </c>
    </row>
    <row r="6" customFormat="false" ht="15" hidden="false" customHeight="false" outlineLevel="0" collapsed="false">
      <c r="A6" s="46" t="s">
        <v>62</v>
      </c>
      <c r="B6" s="44" t="s">
        <v>63</v>
      </c>
      <c r="C6" s="47"/>
    </row>
    <row r="7" customFormat="false" ht="15" hidden="false" customHeight="false" outlineLevel="0" collapsed="false">
      <c r="A7" s="43" t="s">
        <v>64</v>
      </c>
      <c r="B7" s="44" t="s">
        <v>65</v>
      </c>
      <c r="C7" s="45" t="s">
        <v>66</v>
      </c>
    </row>
    <row r="8" customFormat="false" ht="15" hidden="false" customHeight="false" outlineLevel="0" collapsed="false">
      <c r="A8" s="46" t="s">
        <v>67</v>
      </c>
      <c r="B8" s="44" t="s">
        <v>68</v>
      </c>
      <c r="C8" s="47" t="s">
        <v>69</v>
      </c>
    </row>
    <row r="9" customFormat="false" ht="15" hidden="false" customHeight="false" outlineLevel="0" collapsed="false">
      <c r="A9" s="43" t="s">
        <v>70</v>
      </c>
      <c r="B9" s="44" t="s">
        <v>71</v>
      </c>
      <c r="C9" s="45" t="s">
        <v>72</v>
      </c>
    </row>
    <row r="10" customFormat="false" ht="15" hidden="false" customHeight="false" outlineLevel="0" collapsed="false">
      <c r="A10" s="46" t="s">
        <v>73</v>
      </c>
      <c r="B10" s="44" t="s">
        <v>74</v>
      </c>
      <c r="C10" s="47" t="s">
        <v>69</v>
      </c>
    </row>
    <row r="11" customFormat="false" ht="15" hidden="false" customHeight="false" outlineLevel="0" collapsed="false">
      <c r="A11" s="43" t="s">
        <v>75</v>
      </c>
      <c r="B11" s="44" t="s">
        <v>76</v>
      </c>
      <c r="C11" s="45" t="s">
        <v>77</v>
      </c>
    </row>
    <row r="12" customFormat="false" ht="15" hidden="false" customHeight="false" outlineLevel="0" collapsed="false">
      <c r="A12" s="46" t="s">
        <v>78</v>
      </c>
      <c r="B12" s="44" t="s">
        <v>79</v>
      </c>
      <c r="C12" s="47" t="s">
        <v>80</v>
      </c>
    </row>
    <row r="13" customFormat="false" ht="15" hidden="false" customHeight="false" outlineLevel="0" collapsed="false">
      <c r="A13" s="43" t="s">
        <v>81</v>
      </c>
      <c r="B13" s="44" t="s">
        <v>79</v>
      </c>
      <c r="C13" s="45" t="s">
        <v>82</v>
      </c>
    </row>
    <row r="16" customFormat="false" ht="15" hidden="false" customHeight="false" outlineLevel="0" collapsed="false">
      <c r="A16" s="48" t="s">
        <v>83</v>
      </c>
      <c r="B16" s="48"/>
      <c r="C16" s="48"/>
    </row>
    <row r="17" customFormat="false" ht="15" hidden="false" customHeight="false" outlineLevel="0" collapsed="false">
      <c r="A17" s="49" t="s">
        <v>84</v>
      </c>
      <c r="B17" s="50" t="s">
        <v>85</v>
      </c>
      <c r="C17" s="50"/>
    </row>
    <row r="18" customFormat="false" ht="15" hidden="false" customHeight="false" outlineLevel="0" collapsed="false">
      <c r="A18" s="51" t="s">
        <v>86</v>
      </c>
      <c r="B18" s="50" t="s">
        <v>87</v>
      </c>
      <c r="C18" s="50"/>
    </row>
    <row r="19" customFormat="false" ht="15" hidden="false" customHeight="false" outlineLevel="0" collapsed="false">
      <c r="A19" s="52" t="s">
        <v>88</v>
      </c>
      <c r="B19" s="50" t="s">
        <v>89</v>
      </c>
      <c r="C19" s="50"/>
    </row>
    <row r="20" customFormat="false" ht="15" hidden="false" customHeight="false" outlineLevel="0" collapsed="false">
      <c r="A20" s="53" t="s">
        <v>90</v>
      </c>
      <c r="B20" s="50" t="s">
        <v>91</v>
      </c>
      <c r="C20" s="50"/>
    </row>
  </sheetData>
  <mergeCells count="6">
    <mergeCell ref="A1:C1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2026-06-08T08:20:11Z</dcterms:created>
  <dc:creator>openpyxl</dc:creator>
  <dc:description/>
  <dc:language>en-US</dc:language>
  <cp:lastModifiedBy/>
  <dcterms:modified xsi:type="dcterms:W3CDTF">2026-06-08T08:20:25Z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