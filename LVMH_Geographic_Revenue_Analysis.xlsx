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by Region" sheetId="1" state="visible" r:id="rId3"/>
    <sheet name="Regional Mix %" sheetId="2" state="visible" r:id="rId4"/>
    <sheet name="YoY Growth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<sst xmlns="http://schemas.openxmlformats.org/spreadsheetml/2006/main" count="58" uniqueCount="25">
  <si>
    <t xml:space="preserve">LVMH Moët Hennessy Louis Vuitton — Geographic Revenue Analysis | FY2020–FY2024</t>
  </si>
  <si>
    <t xml:space="preserve">Source: LVMH Annual Reports &amp; AMF Filings  |  All figures in EUR millions</t>
  </si>
  <si>
    <t xml:space="preserve">Region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</si>
  <si>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</si>
  <si>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</si>
  <si>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</si>
  <si>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</si>
  <si>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</si>
  <si>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5-Yr CAGR</t>
  </si>
  <si>
    <t xml:space="preserve">  REVENUE BY REGION  (€ millions)</t>
  </si>
  <si>
    <t xml:space="preserve">Asia excl. Japan</t>
  </si>
  <si>
    <t xml:space="preserve">United States</t>
  </si>
  <si>
    <t xml:space="preserve">Europe excl. France</t>
  </si>
  <si>
    <t xml:space="preserve">France</t>
  </si>
  <si>
    <t xml:space="preserve">Japan</t>
  </si>
  <si>
    <t xml:space="preserve">Other markets</t>
  </si>
  <si>
    <t xml:space="preserve">TOTAL REVENUE</t>
  </si>
  <si>
    <t xml:space="preserve">LVMH — Revenue Mix by Region (% of Total) | FY2020–FY2024</t>
  </si>
  <si>
    <t xml:space="preserve">Each region as % of total LVMH group revenue — shows how geographic concentration has shifted</t>
  </si>
  <si>
    <t xml:space="preserve">Share shift</t>
  </si>
  <si>
    <t xml:space="preserve">  % OF TOTAL GROUP REVENUE</t>
  </si>
  <si>
    <t xml:space="preserve">LVMH — Year-over-Year Revenue Growth by Region</t>
  </si>
  <si>
    <t xml:space="preserve">% change vs prior year · FY2021 reflects post-COVID rebound · FY2024 shows China domestic slowdown</t>
  </si>
  <si>
    <t xml:space="preserve">  YoY GROWTH RATE  (% change vs prior year)</t>
  </si>
  <si>
    <t xml:space="preserve">LVMH — Geographic Revenue Visual Analysis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</si>
</sst>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;&quot;(€&quot;#,##0\);\-"/>
    <numFmt numFmtId="166" formatCode="0.0%;\(0.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1"/>
      <color rgb="FFF5DEB3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8E7"/>
        <bgColor rgb="FFF9F9F9"/>
      </patternFill>
    </fill>
    <fill>
      <patternFill patternType="solid">
        <fgColor rgb="FFB8860B"/>
        <bgColor rgb="FFE08C3C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4CAF7D"/>
      <rgbColor rgb="FFBFBFBF"/>
      <rgbColor rgb="FF878787"/>
      <rgbColor rgb="FF5B9BD5"/>
      <rgbColor rgb="FF993366"/>
      <rgbColor rgb="FFFFF8E7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5DEB3"/>
      <rgbColor rgb="FF2E75B6"/>
      <rgbColor rgb="FF4BAFC9"/>
      <rgbColor rgb="FFC9A84C"/>
      <rgbColor rgb="FFFFCC00"/>
      <rgbColor rgb="FFE08C3C"/>
      <rgbColor rgb="FFFF6600"/>
      <rgbColor rgb="FF595959"/>
      <rgbColor rgb="FF9B6EC8"/>
      <rgbColor rgb="FF1F3864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(€M) — Stacked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"Asia excl. Japan"</c:f>
              <c:strCache>
                <c:ptCount val="1"/>
                <c:pt idx="0">
                  <c:v>Asia excl. Japan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Charts!$J$3:$N$3</c:f>
              <c:numCache>
                <c:formatCode>General</c:formatCode>
                <c:ptCount val="5"/>
                <c:pt idx="0">
                  <c:v>16278</c:v>
                </c:pt>
                <c:pt idx="1">
                  <c:v>22475</c:v>
                </c:pt>
                <c:pt idx="2">
                  <c:v>27314</c:v>
                </c:pt>
                <c:pt idx="3">
                  <c:v>26708</c:v>
                </c:pt>
                <c:pt idx="4">
                  <c:v>23713</c:v>
                </c:pt>
              </c:numCache>
            </c:numRef>
          </c:val>
        </c:ser>
        <c:ser>
          <c:idx val="1"/>
          <c:order val="1"/>
          <c:tx>
            <c:strRef>
              <c:f>"United States"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5b9b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Charts!$J$4:$N$4</c:f>
              <c:numCache>
                <c:formatCode>General</c:formatCode>
                <c:ptCount val="5"/>
                <c:pt idx="0">
                  <c:v>9824</c:v>
                </c:pt>
                <c:pt idx="1">
                  <c:v>16054</c:v>
                </c:pt>
                <c:pt idx="2">
                  <c:v>19456</c:v>
                </c:pt>
                <c:pt idx="3">
                  <c:v>21538</c:v>
                </c:pt>
                <c:pt idx="4">
                  <c:v>21170</c:v>
                </c:pt>
              </c:numCache>
            </c:numRef>
          </c:val>
        </c:ser>
        <c:ser>
          <c:idx val="2"/>
          <c:order val="2"/>
          <c:tx>
            <c:strRef>
              <c:f>"Europe excl. France"</c:f>
              <c:strCache>
                <c:ptCount val="1"/>
                <c:pt idx="0">
                  <c:v>Europe excl. France</c:v>
                </c:pt>
              </c:strCache>
            </c:strRef>
          </c:tx>
          <c:spPr>
            <a:solidFill>
              <a:srgbClr val="4caf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Charts!$J$5:$N$5</c:f>
              <c:numCache>
                <c:formatCode>General</c:formatCode>
                <c:ptCount val="5"/>
                <c:pt idx="0">
                  <c:v>8039</c:v>
                </c:pt>
                <c:pt idx="1">
                  <c:v>11958</c:v>
                </c:pt>
                <c:pt idx="2">
                  <c:v>14253</c:v>
                </c:pt>
                <c:pt idx="3">
                  <c:v>15508</c:v>
                </c:pt>
                <c:pt idx="4">
                  <c:v>15244</c:v>
                </c:pt>
              </c:numCache>
            </c:numRef>
          </c:val>
        </c:ser>
        <c:ser>
          <c:idx val="3"/>
          <c:order val="3"/>
          <c:tx>
            <c:strRef>
              <c:f>"France"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9b6ec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Charts!$J$6:$N$6</c:f>
              <c:numCache>
                <c:formatCode>General</c:formatCode>
                <c:ptCount val="5"/>
                <c:pt idx="0">
                  <c:v>4911</c:v>
                </c:pt>
                <c:pt idx="1">
                  <c:v>6742</c:v>
                </c:pt>
                <c:pt idx="2">
                  <c:v>7664</c:v>
                </c:pt>
                <c:pt idx="3">
                  <c:v>8270</c:v>
                </c:pt>
                <c:pt idx="4">
                  <c:v>8129</c:v>
                </c:pt>
              </c:numCache>
            </c:numRef>
          </c:val>
        </c:ser>
        <c:ser>
          <c:idx val="4"/>
          <c:order val="4"/>
          <c:tx>
            <c:strRef>
              <c:f>"Japan"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4bafc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Charts!$J$7:$N$7</c:f>
              <c:numCache>
                <c:formatCode>General</c:formatCode>
                <c:ptCount val="5"/>
                <c:pt idx="0">
                  <c:v>3218</c:v>
                </c:pt>
                <c:pt idx="1">
                  <c:v>4139</c:v>
                </c:pt>
                <c:pt idx="2">
                  <c:v>5027</c:v>
                </c:pt>
                <c:pt idx="3">
                  <c:v>6044</c:v>
                </c:pt>
                <c:pt idx="4">
                  <c:v>7588</c:v>
                </c:pt>
              </c:numCache>
            </c:numRef>
          </c:val>
        </c:ser>
        <c:ser>
          <c:idx val="5"/>
          <c:order val="5"/>
          <c:tx>
            <c:strRef>
              <c:f>"Other markets"</c:f>
              <c:strCache>
                <c:ptCount val="1"/>
                <c:pt idx="0">
                  <c:v>Other markets</c:v>
                </c:pt>
              </c:strCache>
            </c:strRef>
          </c:tx>
          <c:spPr>
            <a:solidFill>
              <a:srgbClr val="e08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Charts!$J$8:$N$8</c:f>
              <c:numCache>
                <c:formatCode>General</c:formatCode>
                <c:ptCount val="5"/>
                <c:pt idx="0">
                  <c:v>2381</c:v>
                </c:pt>
                <c:pt idx="1">
                  <c:v>2847</c:v>
                </c:pt>
                <c:pt idx="2">
                  <c:v>5470</c:v>
                </c:pt>
                <c:pt idx="3">
                  <c:v>8085</c:v>
                </c:pt>
                <c:pt idx="4">
                  <c:v>8837</c:v>
                </c:pt>
              </c:numCache>
            </c:numRef>
          </c:val>
        </c:ser>
        <c:gapWidth val="150"/>
        <c:overlap val="100"/>
        <c:axId val="20021515"/>
        <c:axId val="10859982"/>
      </c:barChart>
      <c:catAx>
        <c:axId val="20021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59982"/>
        <c:crosses val="autoZero"/>
        <c:auto val="1"/>
        <c:lblAlgn val="ctr"/>
        <c:lblOffset val="100"/>
        <c:noMultiLvlLbl val="0"/>
      </c:catAx>
      <c:valAx>
        <c:axId val="108599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215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"Asia excl. Japan"</c:f>
              <c:strCache>
                <c:ptCount val="1"/>
                <c:pt idx="0">
                  <c:v>Asia excl. Japan</c:v>
                </c:pt>
              </c:strCache>
            </c:strRef>
          </c:tx>
          <c:spPr>
            <a:solidFill>
              <a:srgbClr val="c9a84c"/>
            </a:solidFill>
            <a:ln w="2016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Charts!$T$2:$X$2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Charts!$T$3:$X$3</c:f>
              <c:numCache>
                <c:formatCode>General</c:formatCode>
                <c:ptCount val="5"/>
                <c:pt idx="0">
                  <c:v>0.3646</c:v>
                </c:pt>
                <c:pt idx="1">
                  <c:v>0.35</c:v>
                </c:pt>
                <c:pt idx="2">
                  <c:v>0.3449</c:v>
                </c:pt>
                <c:pt idx="3">
                  <c:v>0.31</c:v>
                </c:pt>
                <c:pt idx="4">
                  <c:v>0.28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"United States"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Charts!$T$2:$X$2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Charts!$T$4:$X$4</c:f>
              <c:numCache>
                <c:formatCode>General</c:formatCode>
                <c:ptCount val="5"/>
                <c:pt idx="0">
                  <c:v>0.22</c:v>
                </c:pt>
                <c:pt idx="1">
                  <c:v>0.25</c:v>
                </c:pt>
                <c:pt idx="2">
                  <c:v>0.2457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"Europe excl. France"</c:f>
              <c:strCache>
                <c:ptCount val="1"/>
                <c:pt idx="0">
                  <c:v>Europe excl. France</c:v>
                </c:pt>
              </c:strCache>
            </c:strRef>
          </c:tx>
          <c:spPr>
            <a:solidFill>
              <a:srgbClr val="4caf7d"/>
            </a:solidFill>
            <a:ln w="20160">
              <a:solidFill>
                <a:srgbClr val="4caf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Charts!$T$2:$X$2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Charts!$T$5:$X$5</c:f>
              <c:numCache>
                <c:formatCode>General</c:formatCode>
                <c:ptCount val="5"/>
                <c:pt idx="0">
                  <c:v>0.18</c:v>
                </c:pt>
                <c:pt idx="1">
                  <c:v>0.1862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"France"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9b6ec8"/>
            </a:solidFill>
            <a:ln w="20160">
              <a:solidFill>
                <a:srgbClr val="9b6e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Charts!$T$2:$X$2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Charts!$T$6:$X$6</c:f>
              <c:numCache>
                <c:formatCode>General</c:formatCode>
                <c:ptCount val="5"/>
                <c:pt idx="0">
                  <c:v>0.11</c:v>
                </c:pt>
                <c:pt idx="1">
                  <c:v>0.105</c:v>
                </c:pt>
                <c:pt idx="2">
                  <c:v>0.0968</c:v>
                </c:pt>
                <c:pt idx="3">
                  <c:v>0.096</c:v>
                </c:pt>
                <c:pt idx="4">
                  <c:v>0.096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"Japan"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4bafc9"/>
            </a:solidFill>
            <a:ln w="20160">
              <a:solidFill>
                <a:srgbClr val="4bafc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Charts!$T$2:$X$2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Charts!$T$7:$X$7</c:f>
              <c:numCache>
                <c:formatCode>General</c:formatCode>
                <c:ptCount val="5"/>
                <c:pt idx="0">
                  <c:v>0.0721</c:v>
                </c:pt>
                <c:pt idx="1">
                  <c:v>0.0645</c:v>
                </c:pt>
                <c:pt idx="2">
                  <c:v>0.0635</c:v>
                </c:pt>
                <c:pt idx="3">
                  <c:v>0.0702</c:v>
                </c:pt>
                <c:pt idx="4">
                  <c:v>0.0896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"Other markets"</c:f>
              <c:strCache>
                <c:ptCount val="1"/>
                <c:pt idx="0">
                  <c:v>Other markets</c:v>
                </c:pt>
              </c:strCache>
            </c:strRef>
          </c:tx>
          <c:spPr>
            <a:solidFill>
              <a:srgbClr val="e08c3c"/>
            </a:solidFill>
            <a:ln w="20160">
              <a:solidFill>
                <a:srgbClr val="e08c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Charts!$T$2:$X$2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Charts!$T$8:$X$8</c:f>
              <c:numCache>
                <c:formatCode>General</c:formatCode>
                <c:ptCount val="5"/>
                <c:pt idx="0">
                  <c:v>0.0533</c:v>
                </c:pt>
                <c:pt idx="1">
                  <c:v>0.0443</c:v>
                </c:pt>
                <c:pt idx="2">
                  <c:v>0.0691</c:v>
                </c:pt>
                <c:pt idx="3">
                  <c:v>0.0938</c:v>
                </c:pt>
                <c:pt idx="4">
                  <c:v>0.1044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607345"/>
        <c:axId val="66835332"/>
      </c:lineChart>
      <c:catAx>
        <c:axId val="426073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35332"/>
        <c:crosses val="autoZero"/>
        <c:auto val="1"/>
        <c:lblAlgn val="ctr"/>
        <c:lblOffset val="100"/>
        <c:noMultiLvlLbl val="0"/>
      </c:catAx>
      <c:valAx>
        <c:axId val="66835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073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14</xdr:col>
      <xdr:colOff>78480</xdr:colOff>
      <xdr:row>28</xdr:row>
      <xdr:rowOff>86760</xdr:rowOff>
    </xdr:to>
    <xdr:graphicFrame>
      <xdr:nvGraphicFramePr>
        <xdr:cNvPr id="0" name="Chart 1"/>
        <xdr:cNvGraphicFramePr/>
      </xdr:nvGraphicFramePr>
      <xdr:xfrm>
        <a:off x="0" y="5428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23</xdr:col>
      <xdr:colOff>78840</xdr:colOff>
      <xdr:row>28</xdr:row>
      <xdr:rowOff>86760</xdr:rowOff>
    </xdr:to>
    <xdr:graphicFrame>
      <xdr:nvGraphicFramePr>
        <xdr:cNvPr id="1" name="Chart 2"/>
        <xdr:cNvGraphicFramePr/>
      </xdr:nvGraphicFramePr>
      <xdr:xfrm>
        <a:off x="5503680" y="5428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customFormat="false" ht="18" hidden="false" customHeight="true" outlineLevel="0" collapsed="false">
      <c r="A5" s="6" t="s">
        <v>9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7" t="s">
        <v>10</v>
      </c>
      <c r="B6" s="8" t="n">
        <v>16278</v>
      </c>
      <c r="C6" s="8" t="n">
        <v>22475</v>
      </c>
      <c r="D6" s="8" t="n">
        <v>27314</v>
      </c>
      <c r="E6" s="8" t="n">
        <v>26708</v>
      </c>
      <c r="F6" s="8" t="n">
        <v>23713</v>
      </c>
      <c r="G6" s="9" t="n">
        <f aca="false">(F6/B6)^(1/4)-1</f>
        <v>0.0986171246580794</v>
      </c>
    </row>
    <row r="7" customFormat="false" ht="15" hidden="false" customHeight="false" outlineLevel="0" collapsed="false">
      <c r="A7" s="10" t="s">
        <v>11</v>
      </c>
      <c r="B7" s="8" t="n">
        <v>9824</v>
      </c>
      <c r="C7" s="8" t="n">
        <v>16054</v>
      </c>
      <c r="D7" s="8" t="n">
        <v>19456</v>
      </c>
      <c r="E7" s="8" t="n">
        <v>21538</v>
      </c>
      <c r="F7" s="8" t="n">
        <v>21170</v>
      </c>
      <c r="G7" s="9" t="n">
        <f aca="false">(F7/B7)^(1/4)-1</f>
        <v>0.211596823509495</v>
      </c>
    </row>
    <row r="8" customFormat="false" ht="15" hidden="false" customHeight="false" outlineLevel="0" collapsed="false">
      <c r="A8" s="7" t="s">
        <v>12</v>
      </c>
      <c r="B8" s="8" t="n">
        <v>8039</v>
      </c>
      <c r="C8" s="8" t="n">
        <v>11958</v>
      </c>
      <c r="D8" s="8" t="n">
        <v>14253</v>
      </c>
      <c r="E8" s="8" t="n">
        <v>15508</v>
      </c>
      <c r="F8" s="8" t="n">
        <v>15244</v>
      </c>
      <c r="G8" s="9" t="n">
        <f aca="false">(F8/B8)^(1/4)-1</f>
        <v>0.173476043368196</v>
      </c>
    </row>
    <row r="9" customFormat="false" ht="15" hidden="false" customHeight="false" outlineLevel="0" collapsed="false">
      <c r="A9" s="10" t="s">
        <v>13</v>
      </c>
      <c r="B9" s="8" t="n">
        <v>4911</v>
      </c>
      <c r="C9" s="8" t="n">
        <v>6742</v>
      </c>
      <c r="D9" s="8" t="n">
        <v>7664</v>
      </c>
      <c r="E9" s="8" t="n">
        <v>8270</v>
      </c>
      <c r="F9" s="8" t="n">
        <v>8129</v>
      </c>
      <c r="G9" s="9" t="n">
        <f aca="false">(F9/B9)^(1/4)-1</f>
        <v>0.134270918445275</v>
      </c>
    </row>
    <row r="10" customFormat="false" ht="15" hidden="false" customHeight="false" outlineLevel="0" collapsed="false">
      <c r="A10" s="7" t="s">
        <v>14</v>
      </c>
      <c r="B10" s="8" t="n">
        <v>3218</v>
      </c>
      <c r="C10" s="8" t="n">
        <v>4139</v>
      </c>
      <c r="D10" s="8" t="n">
        <v>5027</v>
      </c>
      <c r="E10" s="8" t="n">
        <v>6044</v>
      </c>
      <c r="F10" s="8" t="n">
        <v>7588</v>
      </c>
      <c r="G10" s="9" t="n">
        <f aca="false">(F10/B10)^(1/4)-1</f>
        <v>0.239182639865349</v>
      </c>
    </row>
    <row r="11" customFormat="false" ht="15" hidden="false" customHeight="false" outlineLevel="0" collapsed="false">
      <c r="A11" s="10" t="s">
        <v>15</v>
      </c>
      <c r="B11" s="8" t="n">
        <v>2381</v>
      </c>
      <c r="C11" s="8" t="n">
        <v>2847</v>
      </c>
      <c r="D11" s="8" t="n">
        <v>5470</v>
      </c>
      <c r="E11" s="8" t="n">
        <v>8085</v>
      </c>
      <c r="F11" s="8" t="n">
        <v>8837</v>
      </c>
      <c r="G11" s="9" t="n">
        <f aca="false">(F11/B11)^(1/4)-1</f>
        <v>0.387990088567752</v>
      </c>
    </row>
    <row r="12" customFormat="false" ht="15" hidden="false" customHeight="false" outlineLevel="0" collapsed="false">
      <c r="A12" s="11" t="s">
        <v>16</v>
      </c>
      <c r="B12" s="12" t="n">
        <v>44651</v>
      </c>
      <c r="C12" s="12" t="n">
        <v>64215</v>
      </c>
      <c r="D12" s="12" t="n">
        <v>79184</v>
      </c>
      <c r="E12" s="12" t="n">
        <v>86153</v>
      </c>
      <c r="F12" s="12" t="n">
        <v>84681</v>
      </c>
      <c r="G12" s="13" t="n">
        <f aca="false">(F12/B12)^(1/4)-1</f>
        <v>0.173515140194737</v>
      </c>
    </row>
  </sheetData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</cols>
  <sheetData>
    <row r="1" customFormat="false" ht="30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19</v>
      </c>
    </row>
    <row r="5" customFormat="false" ht="18" hidden="false" customHeight="true" outlineLevel="0" collapsed="false">
      <c r="A5" s="6" t="s">
        <v>20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14" t="s">
        <v>10</v>
      </c>
      <c r="B6" s="15" t="n">
        <v>0.3646</v>
      </c>
      <c r="C6" s="15" t="n">
        <v>0.35</v>
      </c>
      <c r="D6" s="15" t="n">
        <v>0.3449</v>
      </c>
      <c r="E6" s="15" t="n">
        <v>0.31</v>
      </c>
      <c r="F6" s="15" t="n">
        <v>0.28</v>
      </c>
      <c r="G6" s="16" t="n">
        <v>-0.0845</v>
      </c>
    </row>
    <row r="7" customFormat="false" ht="15" hidden="false" customHeight="false" outlineLevel="0" collapsed="false">
      <c r="A7" s="17" t="s">
        <v>11</v>
      </c>
      <c r="B7" s="18" t="n">
        <v>0.22</v>
      </c>
      <c r="C7" s="18" t="n">
        <v>0.25</v>
      </c>
      <c r="D7" s="18" t="n">
        <v>0.2457</v>
      </c>
      <c r="E7" s="18" t="n">
        <v>0.25</v>
      </c>
      <c r="F7" s="18" t="n">
        <v>0.25</v>
      </c>
      <c r="G7" s="9" t="n">
        <v>0.03</v>
      </c>
    </row>
    <row r="8" customFormat="false" ht="15" hidden="false" customHeight="false" outlineLevel="0" collapsed="false">
      <c r="A8" s="14" t="s">
        <v>12</v>
      </c>
      <c r="B8" s="15" t="n">
        <v>0.18</v>
      </c>
      <c r="C8" s="15" t="n">
        <v>0.1862</v>
      </c>
      <c r="D8" s="15" t="n">
        <v>0.18</v>
      </c>
      <c r="E8" s="15" t="n">
        <v>0.18</v>
      </c>
      <c r="F8" s="15" t="n">
        <v>0.18</v>
      </c>
      <c r="G8" s="16" t="n">
        <v>0</v>
      </c>
    </row>
    <row r="9" customFormat="false" ht="15" hidden="false" customHeight="false" outlineLevel="0" collapsed="false">
      <c r="A9" s="17" t="s">
        <v>13</v>
      </c>
      <c r="B9" s="18" t="n">
        <v>0.11</v>
      </c>
      <c r="C9" s="18" t="n">
        <v>0.105</v>
      </c>
      <c r="D9" s="18" t="n">
        <v>0.0968</v>
      </c>
      <c r="E9" s="18" t="n">
        <v>0.096</v>
      </c>
      <c r="F9" s="18" t="n">
        <v>0.096</v>
      </c>
      <c r="G9" s="16" t="n">
        <v>-0.014</v>
      </c>
    </row>
    <row r="10" customFormat="false" ht="15" hidden="false" customHeight="false" outlineLevel="0" collapsed="false">
      <c r="A10" s="14" t="s">
        <v>14</v>
      </c>
      <c r="B10" s="15" t="n">
        <v>0.0721</v>
      </c>
      <c r="C10" s="15" t="n">
        <v>0.0645</v>
      </c>
      <c r="D10" s="15" t="n">
        <v>0.0635</v>
      </c>
      <c r="E10" s="15" t="n">
        <v>0.0702</v>
      </c>
      <c r="F10" s="15" t="n">
        <v>0.0896</v>
      </c>
      <c r="G10" s="9" t="n">
        <v>0.0175</v>
      </c>
    </row>
    <row r="11" customFormat="false" ht="15" hidden="false" customHeight="false" outlineLevel="0" collapsed="false">
      <c r="A11" s="17" t="s">
        <v>15</v>
      </c>
      <c r="B11" s="18" t="n">
        <v>0.0533</v>
      </c>
      <c r="C11" s="18" t="n">
        <v>0.0443</v>
      </c>
      <c r="D11" s="18" t="n">
        <v>0.0691</v>
      </c>
      <c r="E11" s="18" t="n">
        <v>0.0938</v>
      </c>
      <c r="F11" s="18" t="n">
        <v>0.1044</v>
      </c>
      <c r="G11" s="9" t="n">
        <v>0.051</v>
      </c>
    </row>
  </sheetData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30" hidden="false" customHeight="true" outlineLevel="0" collapsed="false">
      <c r="A1" s="1" t="s">
        <v>21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22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4" t="s">
        <v>4</v>
      </c>
      <c r="C4" s="4" t="s">
        <v>5</v>
      </c>
      <c r="D4" s="4" t="s">
        <v>6</v>
      </c>
      <c r="E4" s="4" t="s">
        <v>7</v>
      </c>
    </row>
    <row r="5" customFormat="false" ht="18" hidden="false" customHeight="true" outlineLevel="0" collapsed="false">
      <c r="A5" s="6" t="s">
        <v>23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14" t="s">
        <v>10</v>
      </c>
      <c r="B6" s="19" t="n">
        <v>0.3807</v>
      </c>
      <c r="C6" s="19" t="n">
        <v>0.2153</v>
      </c>
      <c r="D6" s="20" t="n">
        <v>-0.0222</v>
      </c>
      <c r="E6" s="20" t="n">
        <v>-0.1121</v>
      </c>
    </row>
    <row r="7" customFormat="false" ht="15" hidden="false" customHeight="false" outlineLevel="0" collapsed="false">
      <c r="A7" s="17" t="s">
        <v>11</v>
      </c>
      <c r="B7" s="21" t="n">
        <v>0.6342</v>
      </c>
      <c r="C7" s="21" t="n">
        <v>0.2119</v>
      </c>
      <c r="D7" s="21" t="n">
        <v>0.107</v>
      </c>
      <c r="E7" s="22" t="n">
        <v>-0.0171</v>
      </c>
    </row>
    <row r="8" customFormat="false" ht="15" hidden="false" customHeight="false" outlineLevel="0" collapsed="false">
      <c r="A8" s="14" t="s">
        <v>12</v>
      </c>
      <c r="B8" s="19" t="n">
        <v>0.4875</v>
      </c>
      <c r="C8" s="19" t="n">
        <v>0.1919</v>
      </c>
      <c r="D8" s="19" t="n">
        <v>0.0881</v>
      </c>
      <c r="E8" s="20" t="n">
        <v>-0.017</v>
      </c>
    </row>
    <row r="9" customFormat="false" ht="15" hidden="false" customHeight="false" outlineLevel="0" collapsed="false">
      <c r="A9" s="17" t="s">
        <v>13</v>
      </c>
      <c r="B9" s="21" t="n">
        <v>0.3728</v>
      </c>
      <c r="C9" s="21" t="n">
        <v>0.1368</v>
      </c>
      <c r="D9" s="21" t="n">
        <v>0.0791</v>
      </c>
      <c r="E9" s="22" t="n">
        <v>-0.017</v>
      </c>
    </row>
    <row r="10" customFormat="false" ht="15" hidden="false" customHeight="false" outlineLevel="0" collapsed="false">
      <c r="A10" s="14" t="s">
        <v>14</v>
      </c>
      <c r="B10" s="19" t="n">
        <v>0.2862</v>
      </c>
      <c r="C10" s="19" t="n">
        <v>0.2145</v>
      </c>
      <c r="D10" s="19" t="n">
        <v>0.2023</v>
      </c>
      <c r="E10" s="19" t="n">
        <v>0.2555</v>
      </c>
    </row>
    <row r="11" customFormat="false" ht="15" hidden="false" customHeight="false" outlineLevel="0" collapsed="false">
      <c r="A11" s="17" t="s">
        <v>15</v>
      </c>
      <c r="B11" s="21" t="n">
        <v>0.1957</v>
      </c>
      <c r="C11" s="21" t="n">
        <v>0.9213</v>
      </c>
      <c r="D11" s="21" t="n">
        <v>0.4781</v>
      </c>
      <c r="E11" s="21" t="n">
        <v>0.093</v>
      </c>
    </row>
  </sheetData>
  <mergeCells count="3">
    <mergeCell ref="A1:G1"/>
    <mergeCell ref="A2:G2"/>
    <mergeCell ref="A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J2" s="0" t="s">
        <v>3</v>
      </c>
      <c r="K2" s="0" t="s">
        <v>4</v>
      </c>
      <c r="L2" s="0" t="s">
        <v>5</v>
      </c>
      <c r="M2" s="0" t="s">
        <v>6</v>
      </c>
      <c r="N2" s="0" t="s">
        <v>7</v>
      </c>
      <c r="T2" s="0" t="s">
        <v>3</v>
      </c>
      <c r="U2" s="0" t="s">
        <v>4</v>
      </c>
      <c r="V2" s="0" t="s">
        <v>5</v>
      </c>
      <c r="W2" s="0" t="s">
        <v>6</v>
      </c>
      <c r="X2" s="0" t="s">
        <v>7</v>
      </c>
    </row>
    <row r="3" customFormat="false" ht="15" hidden="false" customHeight="false" outlineLevel="0" collapsed="false">
      <c r="J3" s="0" t="n">
        <v>16278</v>
      </c>
      <c r="K3" s="0" t="n">
        <v>22475</v>
      </c>
      <c r="L3" s="0" t="n">
        <v>27314</v>
      </c>
      <c r="M3" s="0" t="n">
        <v>26708</v>
      </c>
      <c r="N3" s="0" t="n">
        <v>23713</v>
      </c>
      <c r="T3" s="0" t="n">
        <v>0.3646</v>
      </c>
      <c r="U3" s="0" t="n">
        <v>0.35</v>
      </c>
      <c r="V3" s="0" t="n">
        <v>0.3449</v>
      </c>
      <c r="W3" s="0" t="n">
        <v>0.31</v>
      </c>
      <c r="X3" s="0" t="n">
        <v>0.28</v>
      </c>
    </row>
    <row r="4" customFormat="false" ht="15" hidden="false" customHeight="false" outlineLevel="0" collapsed="false">
      <c r="J4" s="0" t="n">
        <v>9824</v>
      </c>
      <c r="K4" s="0" t="n">
        <v>16054</v>
      </c>
      <c r="L4" s="0" t="n">
        <v>19456</v>
      </c>
      <c r="M4" s="0" t="n">
        <v>21538</v>
      </c>
      <c r="N4" s="0" t="n">
        <v>21170</v>
      </c>
      <c r="T4" s="0" t="n">
        <v>0.22</v>
      </c>
      <c r="U4" s="0" t="n">
        <v>0.25</v>
      </c>
      <c r="V4" s="0" t="n">
        <v>0.2457</v>
      </c>
      <c r="W4" s="0" t="n">
        <v>0.25</v>
      </c>
      <c r="X4" s="0" t="n">
        <v>0.25</v>
      </c>
    </row>
    <row r="5" customFormat="false" ht="15" hidden="false" customHeight="false" outlineLevel="0" collapsed="false">
      <c r="J5" s="0" t="n">
        <v>8039</v>
      </c>
      <c r="K5" s="0" t="n">
        <v>11958</v>
      </c>
      <c r="L5" s="0" t="n">
        <v>14253</v>
      </c>
      <c r="M5" s="0" t="n">
        <v>15508</v>
      </c>
      <c r="N5" s="0" t="n">
        <v>15244</v>
      </c>
      <c r="T5" s="0" t="n">
        <v>0.18</v>
      </c>
      <c r="U5" s="0" t="n">
        <v>0.1862</v>
      </c>
      <c r="V5" s="0" t="n">
        <v>0.18</v>
      </c>
      <c r="W5" s="0" t="n">
        <v>0.18</v>
      </c>
      <c r="X5" s="0" t="n">
        <v>0.18</v>
      </c>
    </row>
    <row r="6" customFormat="false" ht="15" hidden="false" customHeight="false" outlineLevel="0" collapsed="false">
      <c r="J6" s="0" t="n">
        <v>4911</v>
      </c>
      <c r="K6" s="0" t="n">
        <v>6742</v>
      </c>
      <c r="L6" s="0" t="n">
        <v>7664</v>
      </c>
      <c r="M6" s="0" t="n">
        <v>8270</v>
      </c>
      <c r="N6" s="0" t="n">
        <v>8129</v>
      </c>
      <c r="T6" s="0" t="n">
        <v>0.11</v>
      </c>
      <c r="U6" s="0" t="n">
        <v>0.105</v>
      </c>
      <c r="V6" s="0" t="n">
        <v>0.0968</v>
      </c>
      <c r="W6" s="0" t="n">
        <v>0.096</v>
      </c>
      <c r="X6" s="0" t="n">
        <v>0.096</v>
      </c>
    </row>
    <row r="7" customFormat="false" ht="15" hidden="false" customHeight="false" outlineLevel="0" collapsed="false">
      <c r="J7" s="0" t="n">
        <v>3218</v>
      </c>
      <c r="K7" s="0" t="n">
        <v>4139</v>
      </c>
      <c r="L7" s="0" t="n">
        <v>5027</v>
      </c>
      <c r="M7" s="0" t="n">
        <v>6044</v>
      </c>
      <c r="N7" s="0" t="n">
        <v>7588</v>
      </c>
      <c r="T7" s="0" t="n">
        <v>0.0721</v>
      </c>
      <c r="U7" s="0" t="n">
        <v>0.0645</v>
      </c>
      <c r="V7" s="0" t="n">
        <v>0.0635</v>
      </c>
      <c r="W7" s="0" t="n">
        <v>0.0702</v>
      </c>
      <c r="X7" s="0" t="n">
        <v>0.0896</v>
      </c>
    </row>
    <row r="8" customFormat="false" ht="15" hidden="false" customHeight="false" outlineLevel="0" collapsed="false">
      <c r="J8" s="0" t="n">
        <v>2381</v>
      </c>
      <c r="K8" s="0" t="n">
        <v>2847</v>
      </c>
      <c r="L8" s="0" t="n">
        <v>5470</v>
      </c>
      <c r="M8" s="0" t="n">
        <v>8085</v>
      </c>
      <c r="N8" s="0" t="n">
        <v>8837</v>
      </c>
      <c r="T8" s="0" t="n">
        <v>0.0533</v>
      </c>
      <c r="U8" s="0" t="n">
        <v>0.0443</v>
      </c>
      <c r="V8" s="0" t="n">
        <v>0.0691</v>
      </c>
      <c r="W8" s="0" t="n">
        <v>0.0938</v>
      </c>
      <c r="X8" s="0" t="n">
        <v>0.1044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2026-06-11T07:01:48Z</dcterms:created>
  <dc:creator>openpyxl</dc:creator>
  <dc:description/>
  <dc:language>en-US</dc:language>
  <cp:lastModifiedBy/>
  <dcterms:modified xsi:type="dcterms:W3CDTF">2026-06-11T07:01:57Z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