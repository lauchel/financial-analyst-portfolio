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sh Flow Forecast" sheetId="2" state="visible" r:id="rId4"/>
    <sheet name="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<sst xmlns="http://schemas.openxmlformats.org/spreadsheetml/2006/main" count="105" uniqueCount="92">
  <si>
    <t xml:space="preserve">Acme Co. — Cash Flow Model Assumptions | FY 2024</t>
  </si>
  <si>
    <t xml:space="preserve">Assumption</t>
  </si>
  <si>
    <t xml:space="preserve">Value</t>
  </si>
  <si>
    <t xml:space="preserve">Notes</t>
  </si>
  <si>
    <t xml:space="preserve">Opening Cash Balance</t>
  </si>
  <si>
    <t xml:space="preserve">$25,000</t>
  </si>
  <si>
    <t xml:space="preserve">Edit this cell to update the entire model</t>
  </si>
  <si>
    <t xml:space="preserve">Currency</t>
  </si>
  <si>
    <t xml:space="preserve">USD</t>
  </si>
  <si>
    <t xml:space="preserve">All figures in US Dollars</t>
  </si>
  <si>
    <t xml:space="preserve">Fiscal Year</t>
  </si>
  <si>
    <t xml:space="preserve">2024</t>
  </si>
  <si>
    <t xml:space="preserve">January – December</t>
  </si>
  <si>
    <t xml:space="preserve">Cash Sales — growth driver</t>
  </si>
  <si>
    <t xml:space="preserve">Seasonal + growth</t>
  </si>
  <si>
    <t xml:space="preserve">Jan–Dec reflects organic growth trajectory</t>
  </si>
  <si>
    <t xml:space="preserve">Accounts Receivable collections</t>
  </si>
  <si>
    <t xml:space="preserve">~15% of revenue</t>
  </si>
  <si>
    <t xml:space="preserve">Lagged collections from prior month invoices</t>
  </si>
  <si>
    <t xml:space="preserve">COGS as % of cash sales</t>
  </si>
  <si>
    <t xml:space="preserve">~27%</t>
  </si>
  <si>
    <t xml:space="preserve">Variable; scales with revenue</t>
  </si>
  <si>
    <t xml:space="preserve">Payroll</t>
  </si>
  <si>
    <t xml:space="preserve">Fixed + step increases</t>
  </si>
  <si>
    <t xml:space="preserve">Monthly increases reflect headcount plan</t>
  </si>
  <si>
    <t xml:space="preserve">Rent</t>
  </si>
  <si>
    <t xml:space="preserve">$4,500/month</t>
  </si>
  <si>
    <t xml:space="preserve">Fixed lease; no escalation modeled</t>
  </si>
  <si>
    <t xml:space="preserve">CapEx</t>
  </si>
  <si>
    <t xml:space="preserve">Mar / Jul / Nov</t>
  </si>
  <si>
    <t xml:space="preserve">Equipment purchases; see monthly detail</t>
  </si>
  <si>
    <t xml:space="preserve">Minimum cash buffer</t>
  </si>
  <si>
    <t xml:space="preserve">$15,000</t>
  </si>
  <si>
    <t xml:space="preserve">Alert threshold — see dashboard</t>
  </si>
  <si>
    <t xml:space="preserve">Tax / financing</t>
  </si>
  <si>
    <t xml:space="preserve">Not modeled</t>
  </si>
  <si>
    <t xml:space="preserve">Add below-the-line items as needed</t>
  </si>
  <si>
    <t xml:space="preserve">Color Coding Legend</t>
  </si>
  <si>
    <t xml:space="preserve">Blue text on yellow</t>
  </si>
  <si>
    <t xml:space="preserve">Hardcoded input — safe to change</t>
  </si>
  <si>
    <t xml:space="preserve">Black text</t>
  </si>
  <si>
    <t xml:space="preserve">Formula — do not overwrite</t>
  </si>
  <si>
    <t xml:space="preserve">Green text</t>
  </si>
  <si>
    <t xml:space="preserve">Positive / inflow</t>
  </si>
  <si>
    <t xml:space="preserve">Red text</t>
  </si>
  <si>
    <t xml:space="preserve">Negative / outflow / deficit</t>
  </si>
  <si>
    <t xml:space="preserve">Acme Co. — 12-Month Cash Flow Forecast | FY 2024</t>
  </si>
  <si>
    <t xml:space="preserve">Portfolio Work Sample — Financial Analyst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</si>
  <si>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</si>
  <si>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</si>
  <si>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</si>
  <si>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</si>
  <si>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</si>
  <si>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</si>
  <si>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</si>
  <si>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</si>
  <si>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</si>
  <si>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</si>
  <si>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</si>
  <si>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</si>
  <si>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Full Year</t>
  </si>
  <si>
    <t xml:space="preserve">% of Total</t>
  </si>
  <si>
    <t xml:space="preserve">  OPENING CASH BALANCE</t>
  </si>
  <si>
    <t xml:space="preserve">Opening Balance</t>
  </si>
  <si>
    <t xml:space="preserve">  CASH INFLOWS</t>
  </si>
  <si>
    <t xml:space="preserve">Cash Sales</t>
  </si>
  <si>
    <t xml:space="preserve">AR Collections</t>
  </si>
  <si>
    <t xml:space="preserve">Other Income</t>
  </si>
  <si>
    <t xml:space="preserve">Total Cash Inflows</t>
  </si>
  <si>
    <t xml:space="preserve">  CASH OUTFLOWS</t>
  </si>
  <si>
    <t xml:space="preserve">COGS / Direct Costs</t>
  </si>
  <si>
    <t xml:space="preserve">Payroll &amp; Benefits</t>
  </si>
  <si>
    <t xml:space="preserve">Rent &amp; Facilities</t>
  </si>
  <si>
    <t xml:space="preserve">Marketing &amp; Advertising</t>
  </si>
  <si>
    <t xml:space="preserve">Utilities</t>
  </si>
  <si>
    <t xml:space="preserve">Other Operating Expenses</t>
  </si>
  <si>
    <t xml:space="preserve">Capital Expenditure</t>
  </si>
  <si>
    <t xml:space="preserve">Total Cash Outflows</t>
  </si>
  <si>
    <t xml:space="preserve">NET CASH FLOW</t>
  </si>
  <si>
    <t xml:space="preserve">  CLOSING CASH BALANCE</t>
  </si>
  <si>
    <t xml:space="preserve">Closing Balance</t>
  </si>
  <si>
    <t xml:space="preserve">Buffer Alert (min $15k)</t>
  </si>
  <si>
    <t xml:space="preserve">  KEY CASH FLOW METRICS</t>
  </si>
  <si>
    <t xml:space="preserve">Total Cash Inflows (FY)</t>
  </si>
  <si>
    <t xml:space="preserve">Total Cash Outflows (FY)</t>
  </si>
  <si>
    <t xml:space="preserve">Net Cash Flow (FY)</t>
  </si>
  <si>
    <t xml:space="preserve">Closing Cash Balance</t>
  </si>
  <si>
    <t xml:space="preserve">Avg Monthly Net Cash Flow</t>
  </si>
  <si>
    <t xml:space="preserve">Best Month (Net CF)</t>
  </si>
  <si>
    <t xml:space="preserve">Worst Month (Net CF)</t>
  </si>
  <si>
    <t xml:space="preserve">Months Below Buffer</t>
  </si>
  <si>
    <t xml:space="preserve">Acme Co. — Cash Flow Visual Analysis | FY 2024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</si>
</sst>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Cash Inflows vs. Outflows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Inflows"</c:f>
              <c:strCache>
                <c:ptCount val="1"/>
                <c:pt idx="0">
                  <c:v>Total Inflows</c:v>
                </c:pt>
              </c:strCache>
            </c:strRef>
          </c:tx>
          <c:spPr>
            <a:solidFill>
              <a:srgbClr val="1d9e7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Charts!$R$2:$AC$2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Charts!$R$3:$AC$3</c:f>
              <c:numCache>
                <c:formatCode>General</c:formatCode>
                <c:ptCount val="12"/>
                <c:pt idx="0">
                  <c:v>54000</c:v>
                </c:pt>
                <c:pt idx="1">
                  <c:v>50500</c:v>
                </c:pt>
                <c:pt idx="2">
                  <c:v>65500</c:v>
                </c:pt>
                <c:pt idx="3">
                  <c:v>61500</c:v>
                </c:pt>
                <c:pt idx="4">
                  <c:v>71000</c:v>
                </c:pt>
                <c:pt idx="5">
                  <c:v>81000</c:v>
                </c:pt>
                <c:pt idx="6">
                  <c:v>74500</c:v>
                </c:pt>
                <c:pt idx="7">
                  <c:v>82500</c:v>
                </c:pt>
                <c:pt idx="8">
                  <c:v>89500</c:v>
                </c:pt>
                <c:pt idx="9">
                  <c:v>85500</c:v>
                </c:pt>
                <c:pt idx="10">
                  <c:v>95000</c:v>
                </c:pt>
                <c:pt idx="11">
                  <c:v>104000</c:v>
                </c:pt>
              </c:numCache>
            </c:numRef>
          </c:val>
        </c:ser>
        <c:ser>
          <c:idx val="1"/>
          <c:order val="1"/>
          <c:tx>
            <c:strRef>
              <c:f>"Total Outflows"</c:f>
              <c:strCache>
                <c:ptCount val="1"/>
                <c:pt idx="0">
                  <c:v>Total Outflows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Charts!$R$2:$AC$2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Charts!$R$4:$AC$4</c:f>
              <c:numCache>
                <c:formatCode>General</c:formatCode>
                <c:ptCount val="12"/>
                <c:pt idx="0">
                  <c:v>40500</c:v>
                </c:pt>
                <c:pt idx="1">
                  <c:v>38800</c:v>
                </c:pt>
                <c:pt idx="2">
                  <c:v>49850</c:v>
                </c:pt>
                <c:pt idx="3">
                  <c:v>43050</c:v>
                </c:pt>
                <c:pt idx="4">
                  <c:v>47200</c:v>
                </c:pt>
                <c:pt idx="5">
                  <c:v>50900</c:v>
                </c:pt>
                <c:pt idx="6">
                  <c:v>57650</c:v>
                </c:pt>
                <c:pt idx="7">
                  <c:v>52250</c:v>
                </c:pt>
                <c:pt idx="8">
                  <c:v>54400</c:v>
                </c:pt>
                <c:pt idx="9">
                  <c:v>53800</c:v>
                </c:pt>
                <c:pt idx="10">
                  <c:v>61950</c:v>
                </c:pt>
                <c:pt idx="11">
                  <c:v>59650</c:v>
                </c:pt>
              </c:numCache>
            </c:numRef>
          </c:val>
        </c:ser>
        <c:gapWidth val="150"/>
        <c:overlap val="0"/>
        <c:axId val="9982502"/>
        <c:axId val="60937954"/>
      </c:barChart>
      <c:catAx>
        <c:axId val="998250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37954"/>
        <c:crosses val="autoZero"/>
        <c:auto val="1"/>
        <c:lblAlgn val="ctr"/>
        <c:lblOffset val="100"/>
        <c:noMultiLvlLbl val="0"/>
      </c:catAx>
      <c:valAx>
        <c:axId val="609379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25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Cash Balance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"Closing Balance"</c:f>
              <c:strCache>
                <c:ptCount val="1"/>
                <c:pt idx="0">
                  <c:v>Closing Balance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Charts!$R$2:$AC$2</c:f>
              <c:multiLvlStrCache>
                <c:ptCount val="1"/>
                <c:lvl>
                  <c:pt idx="0">
                    <c:v>Dec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Aug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Apr</c:v>
                  </c:pt>
                </c:lvl>
                <c:lvl>
                  <c:pt idx="0">
                    <c:v>Mar</c:v>
                  </c:pt>
                </c:lvl>
                <c:lvl>
                  <c:pt idx="0">
                    <c:v>Feb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Charts!$R$6:$AC$6</c:f>
              <c:numCache>
                <c:formatCode>General</c:formatCode>
                <c:ptCount val="12"/>
                <c:pt idx="0">
                  <c:v>38500</c:v>
                </c:pt>
                <c:pt idx="1">
                  <c:v>50200</c:v>
                </c:pt>
                <c:pt idx="2">
                  <c:v>65850</c:v>
                </c:pt>
                <c:pt idx="3">
                  <c:v>84300</c:v>
                </c:pt>
                <c:pt idx="4">
                  <c:v>108100</c:v>
                </c:pt>
                <c:pt idx="5">
                  <c:v>138200</c:v>
                </c:pt>
                <c:pt idx="6">
                  <c:v>155050</c:v>
                </c:pt>
                <c:pt idx="7">
                  <c:v>185300</c:v>
                </c:pt>
                <c:pt idx="8">
                  <c:v>220400</c:v>
                </c:pt>
                <c:pt idx="9">
                  <c:v>252100</c:v>
                </c:pt>
                <c:pt idx="10">
                  <c:v>285150</c:v>
                </c:pt>
                <c:pt idx="11">
                  <c:v>329500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853508"/>
        <c:axId val="11046848"/>
      </c:lineChart>
      <c:catAx>
        <c:axId val="348535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46848"/>
        <c:crosses val="autoZero"/>
        <c:auto val="1"/>
        <c:lblAlgn val="ctr"/>
        <c:lblOffset val="100"/>
        <c:noMultiLvlLbl val="0"/>
      </c:catAx>
      <c:valAx>
        <c:axId val="110468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8535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12</xdr:col>
      <xdr:colOff>581400</xdr:colOff>
      <xdr:row>28</xdr:row>
      <xdr:rowOff>86760</xdr:rowOff>
    </xdr:to>
    <xdr:graphicFrame>
      <xdr:nvGraphicFramePr>
        <xdr:cNvPr id="0" name="Chart 1"/>
        <xdr:cNvGraphicFramePr/>
      </xdr:nvGraphicFramePr>
      <xdr:xfrm>
        <a:off x="0" y="542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21</xdr:col>
      <xdr:colOff>581760</xdr:colOff>
      <xdr:row>28</xdr:row>
      <xdr:rowOff>86760</xdr:rowOff>
    </xdr:to>
    <xdr:graphicFrame>
      <xdr:nvGraphicFramePr>
        <xdr:cNvPr id="1" name="Chart 2"/>
        <xdr:cNvGraphicFramePr/>
      </xdr:nvGraphicFramePr>
      <xdr:xfrm>
        <a:off x="5503680" y="542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8" hidden="false" customHeight="true" outlineLevel="0" collapsed="false">
      <c r="A3" s="3" t="s">
        <v>4</v>
      </c>
      <c r="B3" s="4" t="s">
        <v>5</v>
      </c>
      <c r="C3" s="5" t="s">
        <v>6</v>
      </c>
    </row>
    <row r="4" customFormat="false" ht="18" hidden="false" customHeight="true" outlineLevel="0" collapsed="false">
      <c r="A4" s="6" t="s">
        <v>7</v>
      </c>
      <c r="B4" s="4" t="s">
        <v>8</v>
      </c>
      <c r="C4" s="7" t="s">
        <v>9</v>
      </c>
    </row>
    <row r="5" customFormat="false" ht="18" hidden="false" customHeight="true" outlineLevel="0" collapsed="false">
      <c r="A5" s="3" t="s">
        <v>10</v>
      </c>
      <c r="B5" s="4" t="s">
        <v>11</v>
      </c>
      <c r="C5" s="5" t="s">
        <v>12</v>
      </c>
    </row>
    <row r="6" customFormat="false" ht="18" hidden="false" customHeight="true" outlineLevel="0" collapsed="false">
      <c r="A6" s="6" t="s">
        <v>13</v>
      </c>
      <c r="B6" s="4" t="s">
        <v>14</v>
      </c>
      <c r="C6" s="7" t="s">
        <v>15</v>
      </c>
    </row>
    <row r="7" customFormat="false" ht="18" hidden="false" customHeight="true" outlineLevel="0" collapsed="false">
      <c r="A7" s="3" t="s">
        <v>16</v>
      </c>
      <c r="B7" s="4" t="s">
        <v>17</v>
      </c>
      <c r="C7" s="5" t="s">
        <v>18</v>
      </c>
    </row>
    <row r="8" customFormat="false" ht="18" hidden="false" customHeight="true" outlineLevel="0" collapsed="false">
      <c r="A8" s="6" t="s">
        <v>19</v>
      </c>
      <c r="B8" s="4" t="s">
        <v>20</v>
      </c>
      <c r="C8" s="7" t="s">
        <v>21</v>
      </c>
    </row>
    <row r="9" customFormat="false" ht="18" hidden="false" customHeight="true" outlineLevel="0" collapsed="false">
      <c r="A9" s="3" t="s">
        <v>22</v>
      </c>
      <c r="B9" s="4" t="s">
        <v>23</v>
      </c>
      <c r="C9" s="5" t="s">
        <v>24</v>
      </c>
    </row>
    <row r="10" customFormat="false" ht="18" hidden="false" customHeight="true" outlineLevel="0" collapsed="false">
      <c r="A10" s="6" t="s">
        <v>25</v>
      </c>
      <c r="B10" s="4" t="s">
        <v>26</v>
      </c>
      <c r="C10" s="7" t="s">
        <v>27</v>
      </c>
    </row>
    <row r="11" customFormat="false" ht="18" hidden="false" customHeight="true" outlineLevel="0" collapsed="false">
      <c r="A11" s="3" t="s">
        <v>28</v>
      </c>
      <c r="B11" s="4" t="s">
        <v>29</v>
      </c>
      <c r="C11" s="5" t="s">
        <v>30</v>
      </c>
    </row>
    <row r="12" customFormat="false" ht="18" hidden="false" customHeight="true" outlineLevel="0" collapsed="false">
      <c r="A12" s="6" t="s">
        <v>31</v>
      </c>
      <c r="B12" s="4" t="s">
        <v>32</v>
      </c>
      <c r="C12" s="7" t="s">
        <v>33</v>
      </c>
    </row>
    <row r="13" customFormat="false" ht="18" hidden="false" customHeight="true" outlineLevel="0" collapsed="false">
      <c r="A13" s="3" t="s">
        <v>34</v>
      </c>
      <c r="B13" s="4" t="s">
        <v>35</v>
      </c>
      <c r="C13" s="5" t="s">
        <v>36</v>
      </c>
    </row>
    <row r="16" customFormat="false" ht="15" hidden="false" customHeight="false" outlineLevel="0" collapsed="false">
      <c r="A16" s="8" t="s">
        <v>37</v>
      </c>
      <c r="B16" s="8"/>
      <c r="C16" s="8"/>
    </row>
    <row r="17" customFormat="false" ht="15" hidden="false" customHeight="false" outlineLevel="0" collapsed="false">
      <c r="A17" s="9" t="s">
        <v>38</v>
      </c>
      <c r="B17" s="10" t="s">
        <v>39</v>
      </c>
      <c r="C17" s="10"/>
    </row>
    <row r="18" customFormat="false" ht="15" hidden="false" customHeight="false" outlineLevel="0" collapsed="false">
      <c r="A18" s="11" t="s">
        <v>40</v>
      </c>
      <c r="B18" s="10" t="s">
        <v>41</v>
      </c>
      <c r="C18" s="10"/>
    </row>
    <row r="19" customFormat="false" ht="15" hidden="false" customHeight="false" outlineLevel="0" collapsed="false">
      <c r="A19" s="12" t="s">
        <v>42</v>
      </c>
      <c r="B19" s="10" t="s">
        <v>43</v>
      </c>
      <c r="C19" s="10"/>
    </row>
    <row r="20" customFormat="false" ht="15" hidden="false" customHeight="false" outlineLevel="0" collapsed="false">
      <c r="A20" s="13" t="s">
        <v>44</v>
      </c>
      <c r="B20" s="10" t="s">
        <v>45</v>
      </c>
      <c r="C20" s="10"/>
    </row>
  </sheetData>
  <mergeCells count="6">
    <mergeCell ref="A1:C1"/>
    <mergeCell ref="A16:C16"/>
    <mergeCell ref="B17:C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0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31.5" hidden="false" customHeight="true" outlineLevel="0" collapsed="false">
      <c r="A1" s="14" t="s">
        <v>46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customFormat="false" ht="13.5" hidden="false" customHeight="true" outlineLevel="0" collapsed="false">
      <c r="A2" s="15" t="s">
        <v>47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4" customFormat="false" ht="19.5" hidden="false" customHeight="true" outlineLevel="0" collapsed="false">
      <c r="A4" s="2"/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54</v>
      </c>
      <c r="I4" s="2" t="s">
        <v>55</v>
      </c>
      <c r="J4" s="2" t="s">
        <v>56</v>
      </c>
      <c r="K4" s="2" t="s">
        <v>57</v>
      </c>
      <c r="L4" s="2" t="s">
        <v>58</v>
      </c>
      <c r="M4" s="2" t="s">
        <v>59</v>
      </c>
      <c r="N4" s="2" t="s">
        <v>60</v>
      </c>
      <c r="O4" s="2" t="s">
        <v>61</v>
      </c>
    </row>
    <row r="5" customFormat="false" ht="18" hidden="false" customHeight="true" outlineLevel="0" collapsed="false">
      <c r="A5" s="16" t="s">
        <v>62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customFormat="false" ht="15" hidden="false" customHeight="false" outlineLevel="0" collapsed="false">
      <c r="A6" s="17" t="s">
        <v>63</v>
      </c>
      <c r="B6" s="18" t="n">
        <v>25000</v>
      </c>
      <c r="C6" s="19" t="n">
        <f aca="false">B24</f>
        <v>38500</v>
      </c>
      <c r="D6" s="19" t="n">
        <f aca="false">C24</f>
        <v>50200</v>
      </c>
      <c r="E6" s="19" t="n">
        <f aca="false">D24</f>
        <v>65850</v>
      </c>
      <c r="F6" s="19" t="n">
        <f aca="false">E24</f>
        <v>84300</v>
      </c>
      <c r="G6" s="19" t="n">
        <f aca="false">F24</f>
        <v>108100</v>
      </c>
      <c r="H6" s="19" t="n">
        <f aca="false">G24</f>
        <v>138200</v>
      </c>
      <c r="I6" s="19" t="n">
        <f aca="false">H24</f>
        <v>155050</v>
      </c>
      <c r="J6" s="19" t="n">
        <f aca="false">I24</f>
        <v>185300</v>
      </c>
      <c r="K6" s="19" t="n">
        <f aca="false">J24</f>
        <v>220400</v>
      </c>
      <c r="L6" s="19" t="n">
        <f aca="false">K24</f>
        <v>252100</v>
      </c>
      <c r="M6" s="19" t="n">
        <f aca="false">L24</f>
        <v>285150</v>
      </c>
      <c r="N6" s="20" t="n">
        <f aca="false">B6</f>
        <v>25000</v>
      </c>
      <c r="O6" s="21"/>
    </row>
    <row r="7" customFormat="false" ht="18" hidden="false" customHeight="true" outlineLevel="0" collapsed="false">
      <c r="A7" s="16" t="s">
        <v>64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customFormat="false" ht="15" hidden="false" customHeight="false" outlineLevel="0" collapsed="false">
      <c r="A8" s="22" t="s">
        <v>65</v>
      </c>
      <c r="B8" s="23" t="n">
        <v>45000</v>
      </c>
      <c r="C8" s="23" t="n">
        <v>42000</v>
      </c>
      <c r="D8" s="23" t="n">
        <v>55000</v>
      </c>
      <c r="E8" s="23" t="n">
        <v>52000</v>
      </c>
      <c r="F8" s="23" t="n">
        <v>60000</v>
      </c>
      <c r="G8" s="23" t="n">
        <v>68000</v>
      </c>
      <c r="H8" s="23" t="n">
        <v>63000</v>
      </c>
      <c r="I8" s="23" t="n">
        <v>70000</v>
      </c>
      <c r="J8" s="23" t="n">
        <v>76000</v>
      </c>
      <c r="K8" s="23" t="n">
        <v>73000</v>
      </c>
      <c r="L8" s="23" t="n">
        <v>81000</v>
      </c>
      <c r="M8" s="23" t="n">
        <v>88000</v>
      </c>
      <c r="N8" s="18" t="n">
        <f aca="false">SUM(B8:M8)</f>
        <v>773000</v>
      </c>
      <c r="O8" s="24"/>
    </row>
    <row r="9" customFormat="false" ht="15" hidden="false" customHeight="false" outlineLevel="0" collapsed="false">
      <c r="A9" s="25" t="s">
        <v>66</v>
      </c>
      <c r="B9" s="23" t="n">
        <v>8000</v>
      </c>
      <c r="C9" s="23" t="n">
        <v>7500</v>
      </c>
      <c r="D9" s="23" t="n">
        <v>9000</v>
      </c>
      <c r="E9" s="23" t="n">
        <v>8500</v>
      </c>
      <c r="F9" s="23" t="n">
        <v>10000</v>
      </c>
      <c r="G9" s="23" t="n">
        <v>11000</v>
      </c>
      <c r="H9" s="23" t="n">
        <v>10500</v>
      </c>
      <c r="I9" s="23" t="n">
        <v>11500</v>
      </c>
      <c r="J9" s="23" t="n">
        <v>12000</v>
      </c>
      <c r="K9" s="23" t="n">
        <v>11500</v>
      </c>
      <c r="L9" s="23" t="n">
        <v>13000</v>
      </c>
      <c r="M9" s="23" t="n">
        <v>14000</v>
      </c>
      <c r="N9" s="18" t="n">
        <f aca="false">SUM(B9:M9)</f>
        <v>126500</v>
      </c>
      <c r="O9" s="24"/>
    </row>
    <row r="10" customFormat="false" ht="15" hidden="false" customHeight="false" outlineLevel="0" collapsed="false">
      <c r="A10" s="22" t="s">
        <v>67</v>
      </c>
      <c r="B10" s="23" t="n">
        <v>1000</v>
      </c>
      <c r="C10" s="23" t="n">
        <v>1000</v>
      </c>
      <c r="D10" s="23" t="n">
        <v>1500</v>
      </c>
      <c r="E10" s="23" t="n">
        <v>1000</v>
      </c>
      <c r="F10" s="23" t="n">
        <v>1000</v>
      </c>
      <c r="G10" s="23" t="n">
        <v>2000</v>
      </c>
      <c r="H10" s="23" t="n">
        <v>1000</v>
      </c>
      <c r="I10" s="23" t="n">
        <v>1000</v>
      </c>
      <c r="J10" s="23" t="n">
        <v>1500</v>
      </c>
      <c r="K10" s="23" t="n">
        <v>1000</v>
      </c>
      <c r="L10" s="23" t="n">
        <v>1000</v>
      </c>
      <c r="M10" s="23" t="n">
        <v>2000</v>
      </c>
      <c r="N10" s="18" t="n">
        <f aca="false">SUM(B10:M10)</f>
        <v>15000</v>
      </c>
      <c r="O10" s="24"/>
    </row>
    <row r="11" customFormat="false" ht="15" hidden="false" customHeight="false" outlineLevel="0" collapsed="false">
      <c r="A11" s="26" t="s">
        <v>68</v>
      </c>
      <c r="B11" s="27" t="n">
        <f aca="false">SUM(B8:B10)</f>
        <v>54000</v>
      </c>
      <c r="C11" s="27" t="n">
        <f aca="false">SUM(C8:C10)</f>
        <v>50500</v>
      </c>
      <c r="D11" s="27" t="n">
        <f aca="false">SUM(D8:D10)</f>
        <v>65500</v>
      </c>
      <c r="E11" s="27" t="n">
        <f aca="false">SUM(E8:E10)</f>
        <v>61500</v>
      </c>
      <c r="F11" s="27" t="n">
        <f aca="false">SUM(F8:F10)</f>
        <v>71000</v>
      </c>
      <c r="G11" s="27" t="n">
        <f aca="false">SUM(G8:G10)</f>
        <v>81000</v>
      </c>
      <c r="H11" s="27" t="n">
        <f aca="false">SUM(H8:H10)</f>
        <v>74500</v>
      </c>
      <c r="I11" s="27" t="n">
        <f aca="false">SUM(I8:I10)</f>
        <v>82500</v>
      </c>
      <c r="J11" s="27" t="n">
        <f aca="false">SUM(J8:J10)</f>
        <v>89500</v>
      </c>
      <c r="K11" s="27" t="n">
        <f aca="false">SUM(K8:K10)</f>
        <v>85500</v>
      </c>
      <c r="L11" s="27" t="n">
        <f aca="false">SUM(L8:L10)</f>
        <v>95000</v>
      </c>
      <c r="M11" s="27" t="n">
        <f aca="false">SUM(M8:M10)</f>
        <v>104000</v>
      </c>
      <c r="N11" s="27" t="n">
        <f aca="false">SUM(B11:M11)</f>
        <v>914500</v>
      </c>
      <c r="O11" s="28" t="n">
        <f aca="false">N11/N11</f>
        <v>1</v>
      </c>
    </row>
    <row r="12" customFormat="false" ht="18" hidden="false" customHeight="true" outlineLevel="0" collapsed="false">
      <c r="A12" s="16" t="s">
        <v>69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customFormat="false" ht="15" hidden="false" customHeight="false" outlineLevel="0" collapsed="false">
      <c r="A13" s="25" t="s">
        <v>70</v>
      </c>
      <c r="B13" s="23" t="n">
        <v>13000</v>
      </c>
      <c r="C13" s="23" t="n">
        <v>12000</v>
      </c>
      <c r="D13" s="23" t="n">
        <v>15000</v>
      </c>
      <c r="E13" s="23" t="n">
        <v>14000</v>
      </c>
      <c r="F13" s="23" t="n">
        <v>16000</v>
      </c>
      <c r="G13" s="23" t="n">
        <v>18000</v>
      </c>
      <c r="H13" s="23" t="n">
        <v>17000</v>
      </c>
      <c r="I13" s="23" t="n">
        <v>18000</v>
      </c>
      <c r="J13" s="23" t="n">
        <v>20000</v>
      </c>
      <c r="K13" s="23" t="n">
        <v>19000</v>
      </c>
      <c r="L13" s="23" t="n">
        <v>21000</v>
      </c>
      <c r="M13" s="23" t="n">
        <v>22000</v>
      </c>
      <c r="N13" s="18" t="n">
        <f aca="false">SUM(B13:M13)</f>
        <v>205000</v>
      </c>
      <c r="O13" s="24"/>
    </row>
    <row r="14" customFormat="false" ht="15" hidden="false" customHeight="false" outlineLevel="0" collapsed="false">
      <c r="A14" s="29" t="s">
        <v>71</v>
      </c>
      <c r="B14" s="23" t="n">
        <v>18000</v>
      </c>
      <c r="C14" s="23" t="n">
        <v>18000</v>
      </c>
      <c r="D14" s="23" t="n">
        <v>19000</v>
      </c>
      <c r="E14" s="23" t="n">
        <v>19000</v>
      </c>
      <c r="F14" s="23" t="n">
        <v>20000</v>
      </c>
      <c r="G14" s="23" t="n">
        <v>21000</v>
      </c>
      <c r="H14" s="23" t="n">
        <v>21000</v>
      </c>
      <c r="I14" s="23" t="n">
        <v>22000</v>
      </c>
      <c r="J14" s="23" t="n">
        <v>22000</v>
      </c>
      <c r="K14" s="23" t="n">
        <v>23000</v>
      </c>
      <c r="L14" s="23" t="n">
        <v>23000</v>
      </c>
      <c r="M14" s="23" t="n">
        <v>24000</v>
      </c>
      <c r="N14" s="18" t="n">
        <f aca="false">SUM(B14:M14)</f>
        <v>250000</v>
      </c>
      <c r="O14" s="24"/>
    </row>
    <row r="15" customFormat="false" ht="15" hidden="false" customHeight="false" outlineLevel="0" collapsed="false">
      <c r="A15" s="25" t="s">
        <v>72</v>
      </c>
      <c r="B15" s="23" t="n">
        <v>4500</v>
      </c>
      <c r="C15" s="23" t="n">
        <v>4500</v>
      </c>
      <c r="D15" s="23" t="n">
        <v>4500</v>
      </c>
      <c r="E15" s="23" t="n">
        <v>4500</v>
      </c>
      <c r="F15" s="23" t="n">
        <v>4500</v>
      </c>
      <c r="G15" s="23" t="n">
        <v>4500</v>
      </c>
      <c r="H15" s="23" t="n">
        <v>4500</v>
      </c>
      <c r="I15" s="23" t="n">
        <v>4500</v>
      </c>
      <c r="J15" s="23" t="n">
        <v>4500</v>
      </c>
      <c r="K15" s="23" t="n">
        <v>4500</v>
      </c>
      <c r="L15" s="23" t="n">
        <v>4500</v>
      </c>
      <c r="M15" s="23" t="n">
        <v>4500</v>
      </c>
      <c r="N15" s="18" t="n">
        <f aca="false">SUM(B15:M15)</f>
        <v>54000</v>
      </c>
      <c r="O15" s="24"/>
    </row>
    <row r="16" customFormat="false" ht="15" hidden="false" customHeight="false" outlineLevel="0" collapsed="false">
      <c r="A16" s="29" t="s">
        <v>73</v>
      </c>
      <c r="B16" s="23" t="n">
        <v>3000</v>
      </c>
      <c r="C16" s="23" t="n">
        <v>2500</v>
      </c>
      <c r="D16" s="23" t="n">
        <v>4000</v>
      </c>
      <c r="E16" s="23" t="n">
        <v>3500</v>
      </c>
      <c r="F16" s="23" t="n">
        <v>4500</v>
      </c>
      <c r="G16" s="23" t="n">
        <v>5000</v>
      </c>
      <c r="H16" s="23" t="n">
        <v>4800</v>
      </c>
      <c r="I16" s="23" t="n">
        <v>5200</v>
      </c>
      <c r="J16" s="23" t="n">
        <v>5500</v>
      </c>
      <c r="K16" s="23" t="n">
        <v>5000</v>
      </c>
      <c r="L16" s="23" t="n">
        <v>6000</v>
      </c>
      <c r="M16" s="23" t="n">
        <v>6500</v>
      </c>
      <c r="N16" s="18" t="n">
        <f aca="false">SUM(B16:M16)</f>
        <v>55500</v>
      </c>
      <c r="O16" s="24"/>
    </row>
    <row r="17" customFormat="false" ht="15" hidden="false" customHeight="false" outlineLevel="0" collapsed="false">
      <c r="A17" s="25" t="s">
        <v>74</v>
      </c>
      <c r="B17" s="23" t="n">
        <v>800</v>
      </c>
      <c r="C17" s="23" t="n">
        <v>800</v>
      </c>
      <c r="D17" s="23" t="n">
        <v>850</v>
      </c>
      <c r="E17" s="23" t="n">
        <v>850</v>
      </c>
      <c r="F17" s="23" t="n">
        <v>900</v>
      </c>
      <c r="G17" s="23" t="n">
        <v>900</v>
      </c>
      <c r="H17" s="23" t="n">
        <v>950</v>
      </c>
      <c r="I17" s="23" t="n">
        <v>950</v>
      </c>
      <c r="J17" s="23" t="n">
        <v>900</v>
      </c>
      <c r="K17" s="23" t="n">
        <v>900</v>
      </c>
      <c r="L17" s="23" t="n">
        <v>850</v>
      </c>
      <c r="M17" s="23" t="n">
        <v>850</v>
      </c>
      <c r="N17" s="18" t="n">
        <f aca="false">SUM(B17:M17)</f>
        <v>10500</v>
      </c>
      <c r="O17" s="24"/>
    </row>
    <row r="18" customFormat="false" ht="15" hidden="false" customHeight="false" outlineLevel="0" collapsed="false">
      <c r="A18" s="29" t="s">
        <v>75</v>
      </c>
      <c r="B18" s="23" t="n">
        <v>1200</v>
      </c>
      <c r="C18" s="23" t="n">
        <v>1000</v>
      </c>
      <c r="D18" s="23" t="n">
        <v>1500</v>
      </c>
      <c r="E18" s="23" t="n">
        <v>1200</v>
      </c>
      <c r="F18" s="23" t="n">
        <v>1300</v>
      </c>
      <c r="G18" s="23" t="n">
        <v>1500</v>
      </c>
      <c r="H18" s="23" t="n">
        <v>1400</v>
      </c>
      <c r="I18" s="23" t="n">
        <v>1600</v>
      </c>
      <c r="J18" s="23" t="n">
        <v>1500</v>
      </c>
      <c r="K18" s="23" t="n">
        <v>1400</v>
      </c>
      <c r="L18" s="23" t="n">
        <v>1600</v>
      </c>
      <c r="M18" s="23" t="n">
        <v>1800</v>
      </c>
      <c r="N18" s="18" t="n">
        <f aca="false">SUM(B18:M18)</f>
        <v>17000</v>
      </c>
      <c r="O18" s="24"/>
    </row>
    <row r="19" customFormat="false" ht="15" hidden="false" customHeight="false" outlineLevel="0" collapsed="false">
      <c r="A19" s="25" t="s">
        <v>76</v>
      </c>
      <c r="B19" s="23" t="n">
        <v>0</v>
      </c>
      <c r="C19" s="23" t="n">
        <v>0</v>
      </c>
      <c r="D19" s="23" t="n">
        <v>5000</v>
      </c>
      <c r="E19" s="23" t="n">
        <v>0</v>
      </c>
      <c r="F19" s="23" t="n">
        <v>0</v>
      </c>
      <c r="G19" s="23" t="n">
        <v>0</v>
      </c>
      <c r="H19" s="23" t="n">
        <v>8000</v>
      </c>
      <c r="I19" s="23" t="n">
        <v>0</v>
      </c>
      <c r="J19" s="23" t="n">
        <v>0</v>
      </c>
      <c r="K19" s="23" t="n">
        <v>0</v>
      </c>
      <c r="L19" s="23" t="n">
        <v>5000</v>
      </c>
      <c r="M19" s="23" t="n">
        <v>0</v>
      </c>
      <c r="N19" s="18" t="n">
        <f aca="false">SUM(B19:M19)</f>
        <v>18000</v>
      </c>
      <c r="O19" s="24"/>
    </row>
    <row r="20" customFormat="false" ht="15" hidden="false" customHeight="false" outlineLevel="0" collapsed="false">
      <c r="A20" s="30" t="s">
        <v>77</v>
      </c>
      <c r="B20" s="31" t="n">
        <f aca="false">SUM(B13:B19)</f>
        <v>40500</v>
      </c>
      <c r="C20" s="31" t="n">
        <f aca="false">SUM(C13:C19)</f>
        <v>38800</v>
      </c>
      <c r="D20" s="31" t="n">
        <f aca="false">SUM(D13:D19)</f>
        <v>49850</v>
      </c>
      <c r="E20" s="31" t="n">
        <f aca="false">SUM(E13:E19)</f>
        <v>43050</v>
      </c>
      <c r="F20" s="31" t="n">
        <f aca="false">SUM(F13:F19)</f>
        <v>47200</v>
      </c>
      <c r="G20" s="31" t="n">
        <f aca="false">SUM(G13:G19)</f>
        <v>50900</v>
      </c>
      <c r="H20" s="31" t="n">
        <f aca="false">SUM(H13:H19)</f>
        <v>57650</v>
      </c>
      <c r="I20" s="31" t="n">
        <f aca="false">SUM(I13:I19)</f>
        <v>52250</v>
      </c>
      <c r="J20" s="31" t="n">
        <f aca="false">SUM(J13:J19)</f>
        <v>54400</v>
      </c>
      <c r="K20" s="31" t="n">
        <f aca="false">SUM(K13:K19)</f>
        <v>53800</v>
      </c>
      <c r="L20" s="31" t="n">
        <f aca="false">SUM(L13:L19)</f>
        <v>61950</v>
      </c>
      <c r="M20" s="31" t="n">
        <f aca="false">SUM(M13:M19)</f>
        <v>59650</v>
      </c>
      <c r="N20" s="31" t="n">
        <f aca="false">SUM(B20:M20)</f>
        <v>610000</v>
      </c>
      <c r="O20" s="32" t="n">
        <f aca="false">N20/N11</f>
        <v>0.667031164570804</v>
      </c>
    </row>
    <row r="21" customFormat="false" ht="6" hidden="false" customHeight="true" outlineLevel="0" collapsed="false"/>
    <row r="22" customFormat="false" ht="15" hidden="false" customHeight="false" outlineLevel="0" collapsed="false">
      <c r="A22" s="33" t="s">
        <v>78</v>
      </c>
      <c r="B22" s="34" t="n">
        <f aca="false">B11-B20</f>
        <v>13500</v>
      </c>
      <c r="C22" s="34" t="n">
        <f aca="false">C11-C20</f>
        <v>11700</v>
      </c>
      <c r="D22" s="34" t="n">
        <f aca="false">D11-D20</f>
        <v>15650</v>
      </c>
      <c r="E22" s="34" t="n">
        <f aca="false">E11-E20</f>
        <v>18450</v>
      </c>
      <c r="F22" s="34" t="n">
        <f aca="false">F11-F20</f>
        <v>23800</v>
      </c>
      <c r="G22" s="34" t="n">
        <f aca="false">G11-G20</f>
        <v>30100</v>
      </c>
      <c r="H22" s="34" t="n">
        <f aca="false">H11-H20</f>
        <v>16850</v>
      </c>
      <c r="I22" s="34" t="n">
        <f aca="false">I11-I20</f>
        <v>30250</v>
      </c>
      <c r="J22" s="34" t="n">
        <f aca="false">J11-J20</f>
        <v>35100</v>
      </c>
      <c r="K22" s="34" t="n">
        <f aca="false">K11-K20</f>
        <v>31700</v>
      </c>
      <c r="L22" s="34" t="n">
        <f aca="false">L11-L20</f>
        <v>33050</v>
      </c>
      <c r="M22" s="34" t="n">
        <f aca="false">M11-M20</f>
        <v>44350</v>
      </c>
      <c r="N22" s="34" t="n">
        <f aca="false">SUM(B22:M22)</f>
        <v>304500</v>
      </c>
      <c r="O22" s="35" t="n">
        <f aca="false">N22/N11</f>
        <v>0.332968835429196</v>
      </c>
    </row>
    <row r="23" customFormat="false" ht="18" hidden="false" customHeight="true" outlineLevel="0" collapsed="false">
      <c r="A23" s="16" t="s">
        <v>79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customFormat="false" ht="15" hidden="false" customHeight="false" outlineLevel="0" collapsed="false">
      <c r="A24" s="17" t="s">
        <v>80</v>
      </c>
      <c r="B24" s="19" t="n">
        <f aca="false">B6+B22</f>
        <v>38500</v>
      </c>
      <c r="C24" s="19" t="n">
        <f aca="false">C6+C22</f>
        <v>50200</v>
      </c>
      <c r="D24" s="19" t="n">
        <f aca="false">D6+D22</f>
        <v>65850</v>
      </c>
      <c r="E24" s="19" t="n">
        <f aca="false">E6+E22</f>
        <v>84300</v>
      </c>
      <c r="F24" s="19" t="n">
        <f aca="false">F6+F22</f>
        <v>108100</v>
      </c>
      <c r="G24" s="19" t="n">
        <f aca="false">G6+G22</f>
        <v>138200</v>
      </c>
      <c r="H24" s="19" t="n">
        <f aca="false">H6+H22</f>
        <v>155050</v>
      </c>
      <c r="I24" s="19" t="n">
        <f aca="false">I6+I22</f>
        <v>185300</v>
      </c>
      <c r="J24" s="19" t="n">
        <f aca="false">J6+J22</f>
        <v>220400</v>
      </c>
      <c r="K24" s="19" t="n">
        <f aca="false">K6+K22</f>
        <v>252100</v>
      </c>
      <c r="L24" s="19" t="n">
        <f aca="false">L6+L22</f>
        <v>285150</v>
      </c>
      <c r="M24" s="19" t="n">
        <f aca="false">M6+M22</f>
        <v>329500</v>
      </c>
      <c r="N24" s="20" t="n">
        <f aca="false">M24</f>
        <v>329500</v>
      </c>
      <c r="O24" s="21"/>
    </row>
    <row r="25" customFormat="false" ht="15" hidden="false" customHeight="false" outlineLevel="0" collapsed="false">
      <c r="A25" s="36" t="s">
        <v>81</v>
      </c>
      <c r="B25" s="37" t="str">
        <f aca="false">IF(B24&lt;15000,"⚠ BELOW BUFFER","OK")</f>
        <v>OK</v>
      </c>
      <c r="C25" s="37" t="str">
        <f aca="false">IF(C24&lt;15000,"⚠ BELOW BUFFER","OK")</f>
        <v>OK</v>
      </c>
      <c r="D25" s="37" t="str">
        <f aca="false">IF(D24&lt;15000,"⚠ BELOW BUFFER","OK")</f>
        <v>OK</v>
      </c>
      <c r="E25" s="37" t="str">
        <f aca="false">IF(E24&lt;15000,"⚠ BELOW BUFFER","OK")</f>
        <v>OK</v>
      </c>
      <c r="F25" s="37" t="str">
        <f aca="false">IF(F24&lt;15000,"⚠ BELOW BUFFER","OK")</f>
        <v>OK</v>
      </c>
      <c r="G25" s="37" t="str">
        <f aca="false">IF(G24&lt;15000,"⚠ BELOW BUFFER","OK")</f>
        <v>OK</v>
      </c>
      <c r="H25" s="37" t="str">
        <f aca="false">IF(H24&lt;15000,"⚠ BELOW BUFFER","OK")</f>
        <v>OK</v>
      </c>
      <c r="I25" s="37" t="str">
        <f aca="false">IF(I24&lt;15000,"⚠ BELOW BUFFER","OK")</f>
        <v>OK</v>
      </c>
      <c r="J25" s="37" t="str">
        <f aca="false">IF(J24&lt;15000,"⚠ BELOW BUFFER","OK")</f>
        <v>OK</v>
      </c>
      <c r="K25" s="37" t="str">
        <f aca="false">IF(K24&lt;15000,"⚠ BELOW BUFFER","OK")</f>
        <v>OK</v>
      </c>
      <c r="L25" s="37" t="str">
        <f aca="false">IF(L24&lt;15000,"⚠ BELOW BUFFER","OK")</f>
        <v>OK</v>
      </c>
      <c r="M25" s="37" t="str">
        <f aca="false">IF(M24&lt;15000,"⚠ BELOW BUFFER","OK")</f>
        <v>OK</v>
      </c>
      <c r="N25" s="21"/>
      <c r="O25" s="21"/>
    </row>
    <row r="27" customFormat="false" ht="15" hidden="false" customHeight="false" outlineLevel="0" collapsed="false">
      <c r="A27" s="38" t="s">
        <v>82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</row>
    <row r="28" customFormat="false" ht="15" hidden="false" customHeight="false" outlineLevel="0" collapsed="false">
      <c r="A28" s="39" t="s">
        <v>83</v>
      </c>
      <c r="B28" s="39"/>
      <c r="C28" s="39"/>
      <c r="D28" s="39"/>
      <c r="E28" s="39"/>
      <c r="F28" s="39"/>
      <c r="G28" s="39"/>
      <c r="H28" s="40" t="n">
        <f aca="false">N11</f>
        <v>914500</v>
      </c>
      <c r="I28" s="40"/>
      <c r="J28" s="40"/>
      <c r="K28" s="40"/>
      <c r="L28" s="40"/>
      <c r="M28" s="40"/>
      <c r="N28" s="40"/>
    </row>
    <row r="29" customFormat="false" ht="15" hidden="false" customHeight="false" outlineLevel="0" collapsed="false">
      <c r="A29" s="41" t="s">
        <v>84</v>
      </c>
      <c r="B29" s="41"/>
      <c r="C29" s="41"/>
      <c r="D29" s="41"/>
      <c r="E29" s="41"/>
      <c r="F29" s="41"/>
      <c r="G29" s="41"/>
      <c r="H29" s="42" t="n">
        <f aca="false">N20</f>
        <v>610000</v>
      </c>
      <c r="I29" s="42"/>
      <c r="J29" s="42"/>
      <c r="K29" s="42"/>
      <c r="L29" s="42"/>
      <c r="M29" s="42"/>
      <c r="N29" s="42"/>
    </row>
    <row r="30" customFormat="false" ht="15" hidden="false" customHeight="false" outlineLevel="0" collapsed="false">
      <c r="A30" s="39" t="s">
        <v>85</v>
      </c>
      <c r="B30" s="39"/>
      <c r="C30" s="39"/>
      <c r="D30" s="39"/>
      <c r="E30" s="39"/>
      <c r="F30" s="39"/>
      <c r="G30" s="39"/>
      <c r="H30" s="43" t="n">
        <f aca="false">N22</f>
        <v>304500</v>
      </c>
      <c r="I30" s="43"/>
      <c r="J30" s="43"/>
      <c r="K30" s="43"/>
      <c r="L30" s="43"/>
      <c r="M30" s="43"/>
      <c r="N30" s="43"/>
    </row>
    <row r="31" customFormat="false" ht="15" hidden="false" customHeight="false" outlineLevel="0" collapsed="false">
      <c r="A31" s="41" t="s">
        <v>4</v>
      </c>
      <c r="B31" s="41"/>
      <c r="C31" s="41"/>
      <c r="D31" s="41"/>
      <c r="E31" s="41"/>
      <c r="F31" s="41"/>
      <c r="G31" s="41"/>
      <c r="H31" s="44" t="n">
        <f aca="false">B6</f>
        <v>25000</v>
      </c>
      <c r="I31" s="44"/>
      <c r="J31" s="44"/>
      <c r="K31" s="44"/>
      <c r="L31" s="44"/>
      <c r="M31" s="44"/>
      <c r="N31" s="44"/>
    </row>
    <row r="32" customFormat="false" ht="15" hidden="false" customHeight="false" outlineLevel="0" collapsed="false">
      <c r="A32" s="39" t="s">
        <v>86</v>
      </c>
      <c r="B32" s="39"/>
      <c r="C32" s="39"/>
      <c r="D32" s="39"/>
      <c r="E32" s="39"/>
      <c r="F32" s="39"/>
      <c r="G32" s="39"/>
      <c r="H32" s="40" t="n">
        <f aca="false">M24</f>
        <v>329500</v>
      </c>
      <c r="I32" s="40"/>
      <c r="J32" s="40"/>
      <c r="K32" s="40"/>
      <c r="L32" s="40"/>
      <c r="M32" s="40"/>
      <c r="N32" s="40"/>
    </row>
    <row r="33" customFormat="false" ht="15" hidden="false" customHeight="false" outlineLevel="0" collapsed="false">
      <c r="A33" s="41" t="s">
        <v>87</v>
      </c>
      <c r="B33" s="41"/>
      <c r="C33" s="41"/>
      <c r="D33" s="41"/>
      <c r="E33" s="41"/>
      <c r="F33" s="41"/>
      <c r="G33" s="41"/>
      <c r="H33" s="45" t="n">
        <f aca="false">N22/12</f>
        <v>25375</v>
      </c>
      <c r="I33" s="45"/>
      <c r="J33" s="45"/>
      <c r="K33" s="45"/>
      <c r="L33" s="45"/>
      <c r="M33" s="45"/>
      <c r="N33" s="45"/>
    </row>
    <row r="34" customFormat="false" ht="15" hidden="false" customHeight="false" outlineLevel="0" collapsed="false">
      <c r="A34" s="39" t="s">
        <v>88</v>
      </c>
      <c r="B34" s="39"/>
      <c r="C34" s="39"/>
      <c r="D34" s="39"/>
      <c r="E34" s="39"/>
      <c r="F34" s="39"/>
      <c r="G34" s="39"/>
      <c r="H34" s="40" t="n">
        <f aca="false">MAX(B22:M22)</f>
        <v>44350</v>
      </c>
      <c r="I34" s="40"/>
      <c r="J34" s="40"/>
      <c r="K34" s="40"/>
      <c r="L34" s="40"/>
      <c r="M34" s="40"/>
      <c r="N34" s="40"/>
    </row>
    <row r="35" customFormat="false" ht="15" hidden="false" customHeight="false" outlineLevel="0" collapsed="false">
      <c r="A35" s="41" t="s">
        <v>89</v>
      </c>
      <c r="B35" s="41"/>
      <c r="C35" s="41"/>
      <c r="D35" s="41"/>
      <c r="E35" s="41"/>
      <c r="F35" s="41"/>
      <c r="G35" s="41"/>
      <c r="H35" s="42" t="n">
        <f aca="false">MIN(B22:M22)</f>
        <v>11700</v>
      </c>
      <c r="I35" s="42"/>
      <c r="J35" s="42"/>
      <c r="K35" s="42"/>
      <c r="L35" s="42"/>
      <c r="M35" s="42"/>
      <c r="N35" s="42"/>
    </row>
    <row r="36" customFormat="false" ht="15" hidden="false" customHeight="false" outlineLevel="0" collapsed="false">
      <c r="A36" s="39" t="s">
        <v>90</v>
      </c>
      <c r="B36" s="39"/>
      <c r="C36" s="39"/>
      <c r="D36" s="39"/>
      <c r="E36" s="39"/>
      <c r="F36" s="39"/>
      <c r="G36" s="39"/>
      <c r="H36" s="46" t="n">
        <f aca="false">COUNTIF(B25:M25,"⚠ BELOW BUFFER")</f>
        <v>0</v>
      </c>
      <c r="I36" s="46"/>
      <c r="J36" s="46"/>
      <c r="K36" s="46"/>
      <c r="L36" s="46"/>
      <c r="M36" s="46"/>
      <c r="N36" s="46"/>
    </row>
  </sheetData>
  <mergeCells count="25">
    <mergeCell ref="A1:O1"/>
    <mergeCell ref="A2:O2"/>
    <mergeCell ref="A5:O5"/>
    <mergeCell ref="A7:O7"/>
    <mergeCell ref="A12:O12"/>
    <mergeCell ref="A23:O23"/>
    <mergeCell ref="A27:O27"/>
    <mergeCell ref="A28:G28"/>
    <mergeCell ref="H28:N28"/>
    <mergeCell ref="A29:G29"/>
    <mergeCell ref="H29:N29"/>
    <mergeCell ref="A30:G30"/>
    <mergeCell ref="H30:N30"/>
    <mergeCell ref="A31:G31"/>
    <mergeCell ref="H31:N31"/>
    <mergeCell ref="A32:G32"/>
    <mergeCell ref="H32:N32"/>
    <mergeCell ref="A33:G33"/>
    <mergeCell ref="H33:N33"/>
    <mergeCell ref="A34:G34"/>
    <mergeCell ref="H34:N34"/>
    <mergeCell ref="A35:G35"/>
    <mergeCell ref="H35:N35"/>
    <mergeCell ref="A36:G36"/>
    <mergeCell ref="H36:N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A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7.75" hidden="false" customHeight="true" outlineLevel="0" collapsed="false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R2" s="0" t="s">
        <v>48</v>
      </c>
      <c r="S2" s="0" t="s">
        <v>49</v>
      </c>
      <c r="T2" s="0" t="s">
        <v>50</v>
      </c>
      <c r="U2" s="0" t="s">
        <v>51</v>
      </c>
      <c r="V2" s="0" t="s">
        <v>52</v>
      </c>
      <c r="W2" s="0" t="s">
        <v>53</v>
      </c>
      <c r="X2" s="0" t="s">
        <v>54</v>
      </c>
      <c r="Y2" s="0" t="s">
        <v>55</v>
      </c>
      <c r="Z2" s="0" t="s">
        <v>56</v>
      </c>
      <c r="AA2" s="0" t="s">
        <v>57</v>
      </c>
      <c r="AB2" s="0" t="s">
        <v>58</v>
      </c>
      <c r="AC2" s="0" t="s">
        <v>59</v>
      </c>
    </row>
    <row r="3" customFormat="false" ht="15" hidden="false" customHeight="false" outlineLevel="0" collapsed="false">
      <c r="R3" s="0" t="n">
        <v>54000</v>
      </c>
      <c r="S3" s="0" t="n">
        <v>50500</v>
      </c>
      <c r="T3" s="0" t="n">
        <v>65500</v>
      </c>
      <c r="U3" s="0" t="n">
        <v>61500</v>
      </c>
      <c r="V3" s="0" t="n">
        <v>71000</v>
      </c>
      <c r="W3" s="0" t="n">
        <v>81000</v>
      </c>
      <c r="X3" s="0" t="n">
        <v>74500</v>
      </c>
      <c r="Y3" s="0" t="n">
        <v>82500</v>
      </c>
      <c r="Z3" s="0" t="n">
        <v>89500</v>
      </c>
      <c r="AA3" s="0" t="n">
        <v>85500</v>
      </c>
      <c r="AB3" s="0" t="n">
        <v>95000</v>
      </c>
      <c r="AC3" s="0" t="n">
        <v>104000</v>
      </c>
    </row>
    <row r="4" customFormat="false" ht="15" hidden="false" customHeight="false" outlineLevel="0" collapsed="false">
      <c r="R4" s="0" t="n">
        <v>40500</v>
      </c>
      <c r="S4" s="0" t="n">
        <v>38800</v>
      </c>
      <c r="T4" s="0" t="n">
        <v>49850</v>
      </c>
      <c r="U4" s="0" t="n">
        <v>43050</v>
      </c>
      <c r="V4" s="0" t="n">
        <v>47200</v>
      </c>
      <c r="W4" s="0" t="n">
        <v>50900</v>
      </c>
      <c r="X4" s="0" t="n">
        <v>57650</v>
      </c>
      <c r="Y4" s="0" t="n">
        <v>52250</v>
      </c>
      <c r="Z4" s="0" t="n">
        <v>54400</v>
      </c>
      <c r="AA4" s="0" t="n">
        <v>53800</v>
      </c>
      <c r="AB4" s="0" t="n">
        <v>61950</v>
      </c>
      <c r="AC4" s="0" t="n">
        <v>59650</v>
      </c>
    </row>
    <row r="5" customFormat="false" ht="15" hidden="false" customHeight="false" outlineLevel="0" collapsed="false">
      <c r="R5" s="0" t="n">
        <v>13500</v>
      </c>
      <c r="S5" s="0" t="n">
        <v>11700</v>
      </c>
      <c r="T5" s="0" t="n">
        <v>15650</v>
      </c>
      <c r="U5" s="0" t="n">
        <v>18450</v>
      </c>
      <c r="V5" s="0" t="n">
        <v>23800</v>
      </c>
      <c r="W5" s="0" t="n">
        <v>30100</v>
      </c>
      <c r="X5" s="0" t="n">
        <v>16850</v>
      </c>
      <c r="Y5" s="0" t="n">
        <v>30250</v>
      </c>
      <c r="Z5" s="0" t="n">
        <v>35100</v>
      </c>
      <c r="AA5" s="0" t="n">
        <v>31700</v>
      </c>
      <c r="AB5" s="0" t="n">
        <v>33050</v>
      </c>
      <c r="AC5" s="0" t="n">
        <v>44350</v>
      </c>
    </row>
    <row r="6" customFormat="false" ht="15" hidden="false" customHeight="false" outlineLevel="0" collapsed="false">
      <c r="R6" s="0" t="n">
        <v>38500</v>
      </c>
      <c r="S6" s="0" t="n">
        <v>50200</v>
      </c>
      <c r="T6" s="0" t="n">
        <v>65850</v>
      </c>
      <c r="U6" s="0" t="n">
        <v>84300</v>
      </c>
      <c r="V6" s="0" t="n">
        <v>108100</v>
      </c>
      <c r="W6" s="0" t="n">
        <v>138200</v>
      </c>
      <c r="X6" s="0" t="n">
        <v>155050</v>
      </c>
      <c r="Y6" s="0" t="n">
        <v>185300</v>
      </c>
      <c r="Z6" s="0" t="n">
        <v>220400</v>
      </c>
      <c r="AA6" s="0" t="n">
        <v>252100</v>
      </c>
      <c r="AB6" s="0" t="n">
        <v>285150</v>
      </c>
      <c r="AC6" s="0" t="n">
        <v>329500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2026-06-08T08:40:36Z</dcterms:created>
  <dc:creator>openpyxl</dc:creator>
  <dc:description/>
  <dc:language>en-US</dc:language>
  <cp:lastModifiedBy/>
  <dcterms:modified xsi:type="dcterms:W3CDTF">2026-06-08T08:40:43Z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