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3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AR Aging Detail" sheetId="1" state="visible" r:id="rId3"/>
    <sheet name="Aging Summary" sheetId="2" state="visible" r:id="rId4"/>
    <sheet name="Charts" sheetId="3" state="visible" r:id="rId5"/>
    <sheet name="Customer Summary" sheetId="4" state="visible" r:id="rId6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<sst xmlns="http://schemas.openxmlformats.org/spreadsheetml/2006/main" count="173" uniqueCount="90">
  <si>
    <t xml:space="preserve">Acme Co. — Accounts Receivable Aging Tracker | As of Dec 31, 2024</t>
  </si>
  <si>
    <t xml:space="preserve">Portfolio Work Sample — Financial Analyst</t>
  </si>
  <si>
    <t xml:space="preserve">Customer</t>
  </si>
  <si>
    <t xml:space="preserve">Invoice #</t>
  </si>
  <si>
    <t xml:space="preserve">Invoice Date</t>
  </si>
  <si>
    <t xml:space="preserve">Due Date</t>
  </si>
  <si>
    <t xml:space="preserve">Amount ($)</t>
  </si>
  <si>
    <t xml:space="preserve">Days Overdue</t>
  </si>
  <si>
    <t xml:space="preserve">Aging Bucket</t>
  </si>
  <si>
    <t xml:space="preserve">Risk Level</t>
  </si>
  <si>
    <t xml:space="preserve">Notes</t>
  </si>
  <si>
    <t xml:space="preserve">Apex Digital LLC</t>
  </si>
  <si>
    <t xml:space="preserve">INV-1001</t>
  </si>
  <si>
    <t xml:space="preserve">Current</t>
  </si>
  <si>
    <t xml:space="preserve">Low</t>
  </si>
  <si>
    <t xml:space="preserve">INV-1008</t>
  </si>
  <si>
    <t xml:space="preserve">Blue Harbor Co.</t>
  </si>
  <si>
    <t xml:space="preserve">INV-1002</t>
  </si>
  <si>
    <t xml:space="preserve">31–60 Days</t>
  </si>
  <si>
    <t xml:space="preserve">Medium</t>
  </si>
  <si>
    <t xml:space="preserve">2nd reminder sent Dec 15</t>
  </si>
  <si>
    <t xml:space="preserve">INV-1009</t>
  </si>
  <si>
    <t xml:space="preserve">1–30 Days</t>
  </si>
  <si>
    <t xml:space="preserve">Crestview Partners</t>
  </si>
  <si>
    <t xml:space="preserve">INV-1003</t>
  </si>
  <si>
    <t xml:space="preserve">INV-1010</t>
  </si>
  <si>
    <t xml:space="preserve">Delta Systems Inc.</t>
  </si>
  <si>
    <t xml:space="preserve">INV-1004</t>
  </si>
  <si>
    <t xml:space="preserve">90+ Days</t>
  </si>
  <si>
    <t xml:space="preserve">Critical</t>
  </si>
  <si>
    <t xml:space="preserve">Escalated to collections — no response</t>
  </si>
  <si>
    <t xml:space="preserve">INV-1011</t>
  </si>
  <si>
    <t xml:space="preserve">61–90 Days</t>
  </si>
  <si>
    <t xml:space="preserve">High</t>
  </si>
  <si>
    <t xml:space="preserve">Evergreen Retail</t>
  </si>
  <si>
    <t xml:space="preserve">INV-1005</t>
  </si>
  <si>
    <t xml:space="preserve">INV-1012</t>
  </si>
  <si>
    <t xml:space="preserve">FrontLine Media</t>
  </si>
  <si>
    <t xml:space="preserve">INV-1006</t>
  </si>
  <si>
    <t xml:space="preserve">Payment plan agreed — 3 installments</t>
  </si>
  <si>
    <t xml:space="preserve">INV-1013</t>
  </si>
  <si>
    <t xml:space="preserve">Greenfield Ventures</t>
  </si>
  <si>
    <t xml:space="preserve">INV-1007</t>
  </si>
  <si>
    <t xml:space="preserve">INV-1014: 90+ days — CFO contacted</t>
  </si>
  <si>
    <t xml:space="preserve">INV-1014</t>
  </si>
  <si>
    <t xml:space="preserve">Harbor Tech Solutions</t>
  </si>
  <si>
    <t xml:space="preserve">INV-1015</t>
  </si>
  <si>
    <t xml:space="preserve">INV-1016</t>
  </si>
  <si>
    <t xml:space="preserve">Ironclad Manufacturing</t>
  </si>
  <si>
    <t xml:space="preserve">INV-1017</t>
  </si>
  <si>
    <t xml:space="preserve">Dispute re: delivery — legal review pending</t>
  </si>
  <si>
    <t xml:space="preserve">INV-1018</t>
  </si>
  <si>
    <t xml:space="preserve">Jade Consulting Group</t>
  </si>
  <si>
    <t xml:space="preserve">INV-1019</t>
  </si>
  <si>
    <t xml:space="preserve">INV-1020</t>
  </si>
  <si>
    <t xml:space="preserve">TOTAL OUTSTANDING</t>
  </si>
  <si>
    <t xml:space="preserve">Acme Co. — AR Aging Summary | Dec 31, 2024</t>
  </si>
  <si>
    <t xml:space="preserve">Total Amount</t>
  </si>
  <si>
    <t xml:space="preserve"># Invoices</t>
  </si>
  <si>
    <t xml:space="preserve">% of Total</t>
  </si>
  <si>
    <t xml:space="preserve">Avg Days Overdue</t>
  </si>
  <si>
    <t xml:space="preserve">TOTAL</t>
  </si>
  <si>
    <t xml:space="preserve">  KEY AR METRICS</t>
  </si>
  <si>
    <t xml:space="preserve">Total AR Outstanding</t>
  </si>
  <si>
    <t xml:space="preserve">$258,250</t>
  </si>
  <si>
    <t xml:space="preserve">Total Overdue (&gt;0 days)</t>
  </si>
  <si>
    <t xml:space="preserve">$207,200</t>
  </si>
  <si>
    <t xml:space="preserve">Critical (90+ days)</t>
  </si>
  <si>
    <t xml:space="preserve">$122,700</t>
  </si>
  <si>
    <t xml:space="preserve">% Overdue</t>
  </si>
  <si>
    <t xml:space="preserve">80.2%</t>
  </si>
  <si>
    <t xml:space="preserve">% Critical</t>
  </si>
  <si>
    <t xml:space="preserve">47.5%</t>
  </si>
  <si>
    <t xml:space="preserve"># Invoices Outstanding</t>
  </si>
  <si>
    <t xml:space="preserve">20</t>
  </si>
  <si>
    <t xml:space="preserve">Avg Invoice Size</t>
  </si>
  <si>
    <t xml:space="preserve">$12,912</t>
  </si>
  <si>
    <t xml:space="preserve">Acme Co. — AR Aging Visual Analysis | Dec 31, 2024</t>
  </si>
  <si>
    <t xml:space="preserve">Acme Co. — AR by Customer | Dec 31, 2024</t>
  </si>
  <si>
    <t xml:space="preserve">Total Outstanding</t>
  </si>
  <si>
    <t xml:space="preserve">Oldest Invoice</t>
  </si>
  <si>
    <t xml:space="preserve">Max Days Overdue</t>
  </si>
  <si>
    <t xml:space="preserve">Action Required</t>
  </si>
  <si>
    <t xml:space="preserve">Monitor</t>
  </si>
  <si>
    <t xml:space="preserve">Send final notice</t>
  </si>
  <si>
    <t xml:space="preserve">Send reminder</t>
  </si>
  <si>
    <t xml:space="preserve">Refer to collections agency</t>
  </si>
  <si>
    <t xml:space="preserve">Monitor payment plan</t>
  </si>
  <si>
    <t xml:space="preserve">Escalate to senior management</t>
  </si>
  <si>
    <t xml:space="preserve">Legal review — hold new orders</t>
  </si>
</sst>
</file>

<file path=xl/styles.xml><?xml version="1.0" encoding="utf-8"?>
<styleSheet xmlns="http://schemas.openxmlformats.org/spreadsheetml/2006/main">
  <numFmts count="5">
    <numFmt numFmtId="164" formatCode="General"/>
    <numFmt numFmtId="165" formatCode="mm/dd/yyyy"/>
    <numFmt numFmtId="166" formatCode="\$#,##0;&quot;($&quot;#,##0\);\-"/>
    <numFmt numFmtId="167" formatCode="#,##0;\(#,##0\);\-"/>
    <numFmt numFmtId="168" formatCode="0.0%;\(0.0%\);\-"/>
  </numFmts>
  <fonts count="20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3"/>
      <color rgb="FFFFFFFF"/>
      <name val="Arial"/>
      <family val="0"/>
      <charset val="1"/>
    </font>
    <font>
      <i val="true"/>
      <sz val="10"/>
      <color rgb="FF595959"/>
      <name val="Arial"/>
      <family val="0"/>
      <charset val="1"/>
    </font>
    <font>
      <b val="true"/>
      <sz val="11"/>
      <color rgb="FFFFFFFF"/>
      <name val="Arial"/>
      <family val="0"/>
      <charset val="1"/>
    </font>
    <font>
      <sz val="10"/>
      <color rgb="FF000000"/>
      <name val="Arial"/>
      <family val="0"/>
      <charset val="1"/>
    </font>
    <font>
      <sz val="10"/>
      <name val="Arial"/>
      <family val="0"/>
      <charset val="1"/>
    </font>
    <font>
      <b val="true"/>
      <sz val="10"/>
      <color rgb="FF1D9E75"/>
      <name val="Arial"/>
      <family val="0"/>
      <charset val="1"/>
    </font>
    <font>
      <sz val="10"/>
      <color rgb="FF595959"/>
      <name val="Arial"/>
      <family val="0"/>
      <charset val="1"/>
    </font>
    <font>
      <b val="true"/>
      <sz val="10"/>
      <color rgb="FFFFC000"/>
      <name val="Arial"/>
      <family val="0"/>
      <charset val="1"/>
    </font>
    <font>
      <b val="true"/>
      <sz val="10"/>
      <color rgb="FFC00000"/>
      <name val="Arial"/>
      <family val="0"/>
      <charset val="1"/>
    </font>
    <font>
      <b val="true"/>
      <sz val="10"/>
      <color rgb="FFED7D31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b val="true"/>
      <sz val="10"/>
      <color rgb="FF000000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sz val="10"/>
      <color rgb="FFC00000"/>
      <name val="Arial"/>
      <family val="0"/>
      <charset val="1"/>
    </font>
  </fonts>
  <fills count="10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E2EFDA"/>
        <bgColor rgb="FFD9E1F2"/>
      </patternFill>
    </fill>
    <fill>
      <patternFill patternType="solid">
        <fgColor rgb="FFFFF2CC"/>
        <bgColor rgb="FFFCE4D6"/>
      </patternFill>
    </fill>
    <fill>
      <patternFill patternType="solid">
        <fgColor rgb="FFD9E1F2"/>
        <bgColor rgb="FFD9D9D9"/>
      </patternFill>
    </fill>
    <fill>
      <patternFill patternType="solid">
        <fgColor rgb="FFFCE4D6"/>
        <bgColor rgb="FFFFF2CC"/>
      </patternFill>
    </fill>
    <fill>
      <patternFill patternType="solid">
        <fgColor rgb="FFED7D31"/>
        <bgColor rgb="FFFF8080"/>
      </patternFill>
    </fill>
    <fill>
      <patternFill patternType="solid">
        <fgColor rgb="FFFFFFFF"/>
        <bgColor rgb="FFF9F9F9"/>
      </patternFill>
    </fill>
  </fills>
  <borders count="3">
    <border diagonalUp="false" diagonalDown="false">
      <left/>
      <right/>
      <top/>
      <bottom/>
      <diagonal/>
    </border>
    <border diagonalUp="false" diagonalDown="false">
      <left style="thin">
        <color rgb="FFBFBFBF"/>
      </left>
      <right/>
      <top style="thin">
        <color rgb="FFBFBFBF"/>
      </top>
      <bottom style="thin">
        <color rgb="FFBFBFBF"/>
      </bottom>
      <diagonal/>
    </border>
    <border diagonalUp="false" diagonalDown="false"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2" borderId="1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7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4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4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5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1" fillId="5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9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7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8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5" fontId="8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6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13" fillId="8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6" fillId="2" borderId="1" xfId="0" applyFont="true" applyBorder="true" applyAlignment="true" applyProtection="false">
      <alignment horizontal="left" vertical="center" textRotation="0" wrapText="false" indent="1" shrinkToFit="false"/>
      <protection locked="true" hidden="false"/>
    </xf>
    <xf numFmtId="166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4" fontId="0" fillId="2" borderId="2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6" fillId="3" borderId="2" xfId="0" applyFont="true" applyBorder="true" applyAlignment="true" applyProtection="false">
      <alignment horizontal="center" vertical="center" textRotation="0" wrapText="false" indent="0" shrinkToFit="false"/>
      <protection locked="true" hidden="false"/>
    </xf>
    <xf numFmtId="164" fontId="15" fillId="4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4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4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6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6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5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5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5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4" fillId="8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8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8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7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7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8" fillId="7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2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7" fontId="14" fillId="2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8" fontId="6" fillId="2" borderId="2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6" fillId="3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7" fillId="6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5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9" borderId="1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2" fillId="6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3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15" fillId="9" borderId="1" xfId="0" applyFont="true" applyBorder="true" applyAlignment="true" applyProtection="false">
      <alignment horizontal="right" vertical="bottom" textRotation="0" wrapText="false" indent="0" shrinkToFit="false"/>
      <protection locked="true" hidden="false"/>
    </xf>
    <xf numFmtId="164" fontId="7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6" fontId="15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7" fontId="7" fillId="9" borderId="2" xfId="0" applyFont="true" applyBorder="true" applyAlignment="true" applyProtection="false">
      <alignment horizontal="right" vertical="center" textRotation="0" wrapText="false" indent="0" shrinkToFit="false"/>
      <protection locked="true" hidden="false"/>
    </xf>
    <xf numFmtId="165" fontId="8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1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2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12" fillId="6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9" fillId="6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  <xf numFmtId="164" fontId="9" fillId="9" borderId="2" xfId="0" applyFont="true" applyBorder="true" applyAlignment="true" applyProtection="false">
      <alignment horizontal="center" vertical="bottom" textRotation="0" wrapText="false" indent="0" shrinkToFit="false"/>
      <protection locked="true" hidden="false"/>
    </xf>
    <xf numFmtId="164" fontId="10" fillId="9" borderId="2" xfId="0" applyFont="true" applyBorder="true" applyAlignment="true" applyProtection="false">
      <alignment horizontal="left" vertical="center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878787"/>
      <rgbColor rgb="FF9999FF"/>
      <rgbColor rgb="FF993366"/>
      <rgbColor rgb="FFFFF2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F9F9F9"/>
      <rgbColor rgb="FFE2EFDA"/>
      <rgbColor rgb="FFFFFF99"/>
      <rgbColor rgb="FF99CCFF"/>
      <rgbColor rgb="FFFF99CC"/>
      <rgbColor rgb="FFCC99FF"/>
      <rgbColor rgb="FFFCE4D6"/>
      <rgbColor rgb="FF2E75B6"/>
      <rgbColor rgb="FF33CCCC"/>
      <rgbColor rgb="FF99CC00"/>
      <rgbColor rgb="FFFFC000"/>
      <rgbColor rgb="FFFF9900"/>
      <rgbColor rgb="FFED7D31"/>
      <rgbColor rgb="FF595959"/>
      <rgbColor rgb="FF969696"/>
      <rgbColor rgb="FF1F3864"/>
      <rgbColor rgb="FF1D9E75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 Aging by Bucket — Outstanding Amount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"Outstanding Amount"</c:f>
              <c:strCache>
                <c:ptCount val="1"/>
                <c:pt idx="0">
                  <c:v>Outstanding Amount</c:v>
                </c:pt>
              </c:strCache>
            </c:strRef>
          </c:tx>
          <c:spPr>
            <a:solidFill>
              <a:srgbClr val="2e75b6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90+ Days</c:v>
                  </c:pt>
                </c:lvl>
                <c:lvl>
                  <c:pt idx="0">
                    <c:v>61–90 Days</c:v>
                  </c:pt>
                </c:lvl>
                <c:lvl>
                  <c:pt idx="0">
                    <c:v>31–60 Days</c:v>
                  </c:pt>
                </c:lvl>
                <c:lvl>
                  <c:pt idx="0">
                    <c:v>1–30 Days</c:v>
                  </c:pt>
                </c:lvl>
                <c:lvl>
                  <c:pt idx="0">
                    <c:v>Current</c:v>
                  </c:pt>
                </c:lvl>
              </c:multiLvlStrCache>
            </c:multiLvlStrRef>
          </c:cat>
          <c:val>
            <c:numRef>
              <c:f>Charts!$J$3:$N$3</c:f>
              <c:numCache>
                <c:formatCode>General</c:formatCode>
                <c:ptCount val="5"/>
                <c:pt idx="0">
                  <c:v>51050</c:v>
                </c:pt>
                <c:pt idx="1">
                  <c:v>29400</c:v>
                </c:pt>
                <c:pt idx="2">
                  <c:v>44100</c:v>
                </c:pt>
                <c:pt idx="3">
                  <c:v>11000</c:v>
                </c:pt>
                <c:pt idx="4">
                  <c:v>122700</c:v>
                </c:pt>
              </c:numCache>
            </c:numRef>
          </c:val>
        </c:ser>
        <c:gapWidth val="150"/>
        <c:overlap val="0"/>
        <c:axId val="66282913"/>
        <c:axId val="51824160"/>
      </c:barChart>
      <c:catAx>
        <c:axId val="6628291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Aging 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51824160"/>
        <c:crosses val="autoZero"/>
        <c:auto val="1"/>
        <c:lblAlgn val="ctr"/>
        <c:lblOffset val="100"/>
        <c:noMultiLvlLbl val="0"/>
      </c:catAx>
      <c:valAx>
        <c:axId val="51824160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USD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6628291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AR Aging by Bucket — Invoice Count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"Invoice Count"</c:f>
              <c:strCache>
                <c:ptCount val="1"/>
                <c:pt idx="0">
                  <c:v>Invoice Count</c:v>
                </c:pt>
              </c:strCache>
            </c:strRef>
          </c:tx>
          <c:spPr>
            <a:solidFill>
              <a:srgbClr val="ed7d31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multiLvlStrRef>
              <c:f>Charts!$J$2:$N$2</c:f>
              <c:multiLvlStrCache>
                <c:ptCount val="1"/>
                <c:lvl>
                  <c:pt idx="0">
                    <c:v>90+ Days</c:v>
                  </c:pt>
                </c:lvl>
                <c:lvl>
                  <c:pt idx="0">
                    <c:v>61–90 Days</c:v>
                  </c:pt>
                </c:lvl>
                <c:lvl>
                  <c:pt idx="0">
                    <c:v>31–60 Days</c:v>
                  </c:pt>
                </c:lvl>
                <c:lvl>
                  <c:pt idx="0">
                    <c:v>1–30 Days</c:v>
                  </c:pt>
                </c:lvl>
                <c:lvl>
                  <c:pt idx="0">
                    <c:v>Current</c:v>
                  </c:pt>
                </c:lvl>
              </c:multiLvlStrCache>
            </c:multiLvlStrRef>
          </c:cat>
          <c:val>
            <c:numRef>
              <c:f>Charts!$J$4:$N$4</c:f>
              <c:numCache>
                <c:formatCode>General</c:formatCode>
                <c:ptCount val="5"/>
                <c:pt idx="0">
                  <c:v>8</c:v>
                </c:pt>
                <c:pt idx="1">
                  <c:v>4</c:v>
                </c:pt>
                <c:pt idx="2">
                  <c:v>3</c:v>
                </c:pt>
                <c:pt idx="3">
                  <c:v>1</c:v>
                </c:pt>
                <c:pt idx="4">
                  <c:v>4</c:v>
                </c:pt>
              </c:numCache>
            </c:numRef>
          </c:val>
        </c:ser>
        <c:gapWidth val="150"/>
        <c:overlap val="0"/>
        <c:axId val="82141283"/>
        <c:axId val="88545246"/>
      </c:barChart>
      <c:catAx>
        <c:axId val="82141283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Aging Bucket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8545246"/>
        <c:crosses val="autoZero"/>
        <c:auto val="1"/>
        <c:lblAlgn val="ctr"/>
        <c:lblOffset val="100"/>
        <c:noMultiLvlLbl val="0"/>
      </c:catAx>
      <c:valAx>
        <c:axId val="88545246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# Invoices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2141283"/>
        <c:crosses val="autoZero"/>
        <c:crossBetween val="between"/>
      </c:valAx>
      <c:spPr>
        <a:noFill/>
        <a:ln w="0">
          <a:noFill/>
        </a:ln>
      </c:spPr>
    </c:plotArea>
    <c:legend>
      <c:legendPos val="r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<Relationship Id="rId2" Type="http://schemas.openxmlformats.org/officeDocument/2006/relationships/chart" Target="../charts/chart2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0</xdr:col>
      <xdr:colOff>0</xdr:colOff>
      <xdr:row>2</xdr:row>
      <xdr:rowOff>0</xdr:rowOff>
    </xdr:from>
    <xdr:to>
      <xdr:col>12</xdr:col>
      <xdr:colOff>581400</xdr:colOff>
      <xdr:row>28</xdr:row>
      <xdr:rowOff>86760</xdr:rowOff>
    </xdr:to>
    <xdr:graphicFrame>
      <xdr:nvGraphicFramePr>
        <xdr:cNvPr id="0" name="Chart 1"/>
        <xdr:cNvGraphicFramePr/>
      </xdr:nvGraphicFramePr>
      <xdr:xfrm>
        <a:off x="0" y="542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 editAs="oneCell">
    <xdr:from>
      <xdr:col>9</xdr:col>
      <xdr:colOff>0</xdr:colOff>
      <xdr:row>2</xdr:row>
      <xdr:rowOff>0</xdr:rowOff>
    </xdr:from>
    <xdr:to>
      <xdr:col>21</xdr:col>
      <xdr:colOff>581760</xdr:colOff>
      <xdr:row>28</xdr:row>
      <xdr:rowOff>86760</xdr:rowOff>
    </xdr:to>
    <xdr:graphicFrame>
      <xdr:nvGraphicFramePr>
        <xdr:cNvPr id="1" name="Chart 2"/>
        <xdr:cNvGraphicFramePr/>
      </xdr:nvGraphicFramePr>
      <xdr:xfrm>
        <a:off x="5503680" y="542880"/>
        <a:ext cx="7919640" cy="50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3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F3864"/>
    <pageSetUpPr fitToPage="false"/>
  </sheetPr>
  <dimension ref="A1:I2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4" topLeftCell="A5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2"/>
    <col collapsed="false" customWidth="true" hidden="false" outlineLevel="0" max="4" min="3" style="0" width="13"/>
    <col collapsed="false" customWidth="true" hidden="false" outlineLevel="0" max="5" min="5" style="0" width="14"/>
    <col collapsed="false" customWidth="true" hidden="false" outlineLevel="0" max="6" min="6" style="0" width="10"/>
    <col collapsed="false" customWidth="true" hidden="false" outlineLevel="0" max="7" min="7" style="0" width="14"/>
    <col collapsed="false" customWidth="true" hidden="false" outlineLevel="0" max="8" min="8" style="0" width="12"/>
    <col collapsed="false" customWidth="true" hidden="false" outlineLevel="0" max="9" min="9" style="0" width="10"/>
  </cols>
  <sheetData>
    <row r="1" customFormat="false" ht="27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3.5" hidden="false" customHeight="true" outlineLevel="0" collapsed="false">
      <c r="A2" s="2" t="s">
        <v>1</v>
      </c>
      <c r="B2" s="2"/>
      <c r="C2" s="2"/>
      <c r="D2" s="2"/>
      <c r="E2" s="2"/>
      <c r="F2" s="2"/>
      <c r="G2" s="2"/>
      <c r="H2" s="2"/>
      <c r="I2" s="2"/>
    </row>
    <row r="4" customFormat="false" ht="19.5" hidden="false" customHeight="true" outlineLevel="0" collapsed="false">
      <c r="A4" s="3" t="s">
        <v>2</v>
      </c>
      <c r="B4" s="3" t="s">
        <v>3</v>
      </c>
      <c r="C4" s="3" t="s">
        <v>4</v>
      </c>
      <c r="D4" s="3" t="s">
        <v>5</v>
      </c>
      <c r="E4" s="3" t="s">
        <v>6</v>
      </c>
      <c r="F4" s="3" t="s">
        <v>7</v>
      </c>
      <c r="G4" s="3" t="s">
        <v>8</v>
      </c>
      <c r="H4" s="3" t="s">
        <v>9</v>
      </c>
      <c r="I4" s="3" t="s">
        <v>10</v>
      </c>
    </row>
    <row r="5" customFormat="false" ht="15" hidden="false" customHeight="false" outlineLevel="0" collapsed="false">
      <c r="A5" s="4" t="s">
        <v>11</v>
      </c>
      <c r="B5" s="5" t="s">
        <v>12</v>
      </c>
      <c r="C5" s="6" t="n">
        <v>45627</v>
      </c>
      <c r="D5" s="6" t="n">
        <v>45657</v>
      </c>
      <c r="E5" s="7" t="n">
        <v>12500</v>
      </c>
      <c r="F5" s="8" t="n">
        <v>0</v>
      </c>
      <c r="G5" s="5" t="s">
        <v>13</v>
      </c>
      <c r="H5" s="9" t="s">
        <v>14</v>
      </c>
      <c r="I5" s="10"/>
    </row>
    <row r="6" customFormat="false" ht="15" hidden="false" customHeight="false" outlineLevel="0" collapsed="false">
      <c r="A6" s="4" t="s">
        <v>11</v>
      </c>
      <c r="B6" s="5" t="s">
        <v>15</v>
      </c>
      <c r="C6" s="6" t="n">
        <v>45641</v>
      </c>
      <c r="D6" s="6" t="n">
        <v>45671</v>
      </c>
      <c r="E6" s="7" t="n">
        <v>8200</v>
      </c>
      <c r="F6" s="8" t="n">
        <v>0</v>
      </c>
      <c r="G6" s="5" t="s">
        <v>13</v>
      </c>
      <c r="H6" s="9" t="s">
        <v>14</v>
      </c>
      <c r="I6" s="10"/>
    </row>
    <row r="7" customFormat="false" ht="15" hidden="false" customHeight="false" outlineLevel="0" collapsed="false">
      <c r="A7" s="11" t="s">
        <v>16</v>
      </c>
      <c r="B7" s="12" t="s">
        <v>17</v>
      </c>
      <c r="C7" s="13" t="n">
        <v>45570</v>
      </c>
      <c r="D7" s="13" t="n">
        <v>45600</v>
      </c>
      <c r="E7" s="14" t="n">
        <v>21000</v>
      </c>
      <c r="F7" s="15" t="n">
        <v>57</v>
      </c>
      <c r="G7" s="12" t="s">
        <v>18</v>
      </c>
      <c r="H7" s="16" t="s">
        <v>19</v>
      </c>
      <c r="I7" s="17" t="s">
        <v>20</v>
      </c>
    </row>
    <row r="8" customFormat="false" ht="15" hidden="false" customHeight="false" outlineLevel="0" collapsed="false">
      <c r="A8" s="18" t="s">
        <v>16</v>
      </c>
      <c r="B8" s="19" t="s">
        <v>21</v>
      </c>
      <c r="C8" s="20" t="n">
        <v>45616</v>
      </c>
      <c r="D8" s="20" t="n">
        <v>45646</v>
      </c>
      <c r="E8" s="21" t="n">
        <v>5500</v>
      </c>
      <c r="F8" s="22" t="n">
        <v>11</v>
      </c>
      <c r="G8" s="19" t="s">
        <v>22</v>
      </c>
      <c r="H8" s="23" t="s">
        <v>14</v>
      </c>
      <c r="I8" s="24" t="s">
        <v>20</v>
      </c>
    </row>
    <row r="9" customFormat="false" ht="15" hidden="false" customHeight="false" outlineLevel="0" collapsed="false">
      <c r="A9" s="18" t="s">
        <v>23</v>
      </c>
      <c r="B9" s="19" t="s">
        <v>24</v>
      </c>
      <c r="C9" s="20" t="n">
        <v>45606</v>
      </c>
      <c r="D9" s="20" t="n">
        <v>45636</v>
      </c>
      <c r="E9" s="21" t="n">
        <v>9800</v>
      </c>
      <c r="F9" s="22" t="n">
        <v>21</v>
      </c>
      <c r="G9" s="19" t="s">
        <v>22</v>
      </c>
      <c r="H9" s="23" t="s">
        <v>14</v>
      </c>
      <c r="I9" s="24"/>
    </row>
    <row r="10" customFormat="false" ht="15" hidden="false" customHeight="false" outlineLevel="0" collapsed="false">
      <c r="A10" s="4" t="s">
        <v>23</v>
      </c>
      <c r="B10" s="5" t="s">
        <v>25</v>
      </c>
      <c r="C10" s="6" t="n">
        <v>45646</v>
      </c>
      <c r="D10" s="6" t="n">
        <v>45676</v>
      </c>
      <c r="E10" s="7" t="n">
        <v>3200</v>
      </c>
      <c r="F10" s="8" t="n">
        <v>0</v>
      </c>
      <c r="G10" s="5" t="s">
        <v>13</v>
      </c>
      <c r="H10" s="9" t="s">
        <v>14</v>
      </c>
      <c r="I10" s="10"/>
    </row>
    <row r="11" customFormat="false" ht="15" hidden="false" customHeight="false" outlineLevel="0" collapsed="false">
      <c r="A11" s="25" t="s">
        <v>26</v>
      </c>
      <c r="B11" s="26" t="s">
        <v>27</v>
      </c>
      <c r="C11" s="27" t="n">
        <v>45519</v>
      </c>
      <c r="D11" s="27" t="n">
        <v>45549</v>
      </c>
      <c r="E11" s="28" t="n">
        <v>34500</v>
      </c>
      <c r="F11" s="29" t="n">
        <v>108</v>
      </c>
      <c r="G11" s="26" t="s">
        <v>28</v>
      </c>
      <c r="H11" s="30" t="s">
        <v>29</v>
      </c>
      <c r="I11" s="31" t="s">
        <v>30</v>
      </c>
    </row>
    <row r="12" customFormat="false" ht="15" hidden="false" customHeight="false" outlineLevel="0" collapsed="false">
      <c r="A12" s="32" t="s">
        <v>26</v>
      </c>
      <c r="B12" s="33" t="s">
        <v>31</v>
      </c>
      <c r="C12" s="34" t="n">
        <v>45555</v>
      </c>
      <c r="D12" s="34" t="n">
        <v>45585</v>
      </c>
      <c r="E12" s="35" t="n">
        <v>11000</v>
      </c>
      <c r="F12" s="36" t="n">
        <v>72</v>
      </c>
      <c r="G12" s="33" t="s">
        <v>32</v>
      </c>
      <c r="H12" s="37" t="s">
        <v>33</v>
      </c>
      <c r="I12" s="38" t="s">
        <v>30</v>
      </c>
    </row>
    <row r="13" customFormat="false" ht="15" hidden="false" customHeight="false" outlineLevel="0" collapsed="false">
      <c r="A13" s="4" t="s">
        <v>34</v>
      </c>
      <c r="B13" s="5" t="s">
        <v>35</v>
      </c>
      <c r="C13" s="6" t="n">
        <v>45636</v>
      </c>
      <c r="D13" s="6" t="n">
        <v>45666</v>
      </c>
      <c r="E13" s="7" t="n">
        <v>6750</v>
      </c>
      <c r="F13" s="8" t="n">
        <v>0</v>
      </c>
      <c r="G13" s="5" t="s">
        <v>13</v>
      </c>
      <c r="H13" s="9" t="s">
        <v>14</v>
      </c>
      <c r="I13" s="10"/>
    </row>
    <row r="14" customFormat="false" ht="15" hidden="false" customHeight="false" outlineLevel="0" collapsed="false">
      <c r="A14" s="4" t="s">
        <v>34</v>
      </c>
      <c r="B14" s="5" t="s">
        <v>36</v>
      </c>
      <c r="C14" s="6" t="n">
        <v>45648</v>
      </c>
      <c r="D14" s="6" t="n">
        <v>45678</v>
      </c>
      <c r="E14" s="7" t="n">
        <v>4100</v>
      </c>
      <c r="F14" s="8" t="n">
        <v>0</v>
      </c>
      <c r="G14" s="5" t="s">
        <v>13</v>
      </c>
      <c r="H14" s="9" t="s">
        <v>14</v>
      </c>
      <c r="I14" s="10"/>
    </row>
    <row r="15" customFormat="false" ht="15" hidden="false" customHeight="false" outlineLevel="0" collapsed="false">
      <c r="A15" s="25" t="s">
        <v>37</v>
      </c>
      <c r="B15" s="26" t="s">
        <v>38</v>
      </c>
      <c r="C15" s="27" t="n">
        <v>45536</v>
      </c>
      <c r="D15" s="27" t="n">
        <v>45566</v>
      </c>
      <c r="E15" s="28" t="n">
        <v>18200</v>
      </c>
      <c r="F15" s="29" t="n">
        <v>91</v>
      </c>
      <c r="G15" s="26" t="s">
        <v>28</v>
      </c>
      <c r="H15" s="30" t="s">
        <v>29</v>
      </c>
      <c r="I15" s="31" t="s">
        <v>39</v>
      </c>
    </row>
    <row r="16" customFormat="false" ht="15" hidden="false" customHeight="false" outlineLevel="0" collapsed="false">
      <c r="A16" s="11" t="s">
        <v>37</v>
      </c>
      <c r="B16" s="12" t="s">
        <v>40</v>
      </c>
      <c r="C16" s="13" t="n">
        <v>45580</v>
      </c>
      <c r="D16" s="13" t="n">
        <v>45610</v>
      </c>
      <c r="E16" s="14" t="n">
        <v>7600</v>
      </c>
      <c r="F16" s="15" t="n">
        <v>47</v>
      </c>
      <c r="G16" s="12" t="s">
        <v>18</v>
      </c>
      <c r="H16" s="16" t="s">
        <v>19</v>
      </c>
      <c r="I16" s="17" t="s">
        <v>39</v>
      </c>
    </row>
    <row r="17" customFormat="false" ht="15" hidden="false" customHeight="false" outlineLevel="0" collapsed="false">
      <c r="A17" s="4" t="s">
        <v>41</v>
      </c>
      <c r="B17" s="5" t="s">
        <v>42</v>
      </c>
      <c r="C17" s="6" t="n">
        <v>45631</v>
      </c>
      <c r="D17" s="6" t="n">
        <v>45661</v>
      </c>
      <c r="E17" s="7" t="n">
        <v>5400</v>
      </c>
      <c r="F17" s="8" t="n">
        <v>0</v>
      </c>
      <c r="G17" s="5" t="s">
        <v>13</v>
      </c>
      <c r="H17" s="9" t="s">
        <v>14</v>
      </c>
      <c r="I17" s="10" t="s">
        <v>43</v>
      </c>
    </row>
    <row r="18" customFormat="false" ht="15" hidden="false" customHeight="false" outlineLevel="0" collapsed="false">
      <c r="A18" s="25" t="s">
        <v>41</v>
      </c>
      <c r="B18" s="26" t="s">
        <v>44</v>
      </c>
      <c r="C18" s="27" t="n">
        <v>45483</v>
      </c>
      <c r="D18" s="27" t="n">
        <v>45513</v>
      </c>
      <c r="E18" s="28" t="n">
        <v>28000</v>
      </c>
      <c r="F18" s="29" t="n">
        <v>144</v>
      </c>
      <c r="G18" s="26" t="s">
        <v>28</v>
      </c>
      <c r="H18" s="30" t="s">
        <v>29</v>
      </c>
      <c r="I18" s="31" t="s">
        <v>43</v>
      </c>
    </row>
    <row r="19" customFormat="false" ht="15" hidden="false" customHeight="false" outlineLevel="0" collapsed="false">
      <c r="A19" s="18" t="s">
        <v>45</v>
      </c>
      <c r="B19" s="19" t="s">
        <v>46</v>
      </c>
      <c r="C19" s="20" t="n">
        <v>45621</v>
      </c>
      <c r="D19" s="20" t="n">
        <v>45651</v>
      </c>
      <c r="E19" s="21" t="n">
        <v>9200</v>
      </c>
      <c r="F19" s="22" t="n">
        <v>6</v>
      </c>
      <c r="G19" s="19" t="s">
        <v>22</v>
      </c>
      <c r="H19" s="23" t="s">
        <v>14</v>
      </c>
      <c r="I19" s="24"/>
    </row>
    <row r="20" customFormat="false" ht="15" hidden="false" customHeight="false" outlineLevel="0" collapsed="false">
      <c r="A20" s="4" t="s">
        <v>45</v>
      </c>
      <c r="B20" s="5" t="s">
        <v>47</v>
      </c>
      <c r="C20" s="6" t="n">
        <v>45644</v>
      </c>
      <c r="D20" s="6" t="n">
        <v>45674</v>
      </c>
      <c r="E20" s="7" t="n">
        <v>3800</v>
      </c>
      <c r="F20" s="8" t="n">
        <v>0</v>
      </c>
      <c r="G20" s="5" t="s">
        <v>13</v>
      </c>
      <c r="H20" s="9" t="s">
        <v>14</v>
      </c>
      <c r="I20" s="10"/>
    </row>
    <row r="21" customFormat="false" ht="15" hidden="false" customHeight="false" outlineLevel="0" collapsed="false">
      <c r="A21" s="25" t="s">
        <v>48</v>
      </c>
      <c r="B21" s="26" t="s">
        <v>49</v>
      </c>
      <c r="C21" s="27" t="n">
        <v>45444</v>
      </c>
      <c r="D21" s="27" t="n">
        <v>45474</v>
      </c>
      <c r="E21" s="28" t="n">
        <v>42000</v>
      </c>
      <c r="F21" s="29" t="n">
        <v>183</v>
      </c>
      <c r="G21" s="26" t="s">
        <v>28</v>
      </c>
      <c r="H21" s="30" t="s">
        <v>29</v>
      </c>
      <c r="I21" s="31" t="s">
        <v>50</v>
      </c>
    </row>
    <row r="22" customFormat="false" ht="15" hidden="false" customHeight="false" outlineLevel="0" collapsed="false">
      <c r="A22" s="11" t="s">
        <v>48</v>
      </c>
      <c r="B22" s="12" t="s">
        <v>51</v>
      </c>
      <c r="C22" s="13" t="n">
        <v>45573</v>
      </c>
      <c r="D22" s="13" t="n">
        <v>45603</v>
      </c>
      <c r="E22" s="14" t="n">
        <v>15500</v>
      </c>
      <c r="F22" s="15" t="n">
        <v>54</v>
      </c>
      <c r="G22" s="12" t="s">
        <v>18</v>
      </c>
      <c r="H22" s="16" t="s">
        <v>19</v>
      </c>
      <c r="I22" s="17" t="s">
        <v>50</v>
      </c>
    </row>
    <row r="23" customFormat="false" ht="15" hidden="false" customHeight="false" outlineLevel="0" collapsed="false">
      <c r="A23" s="4" t="s">
        <v>52</v>
      </c>
      <c r="B23" s="5" t="s">
        <v>53</v>
      </c>
      <c r="C23" s="6" t="n">
        <v>45638</v>
      </c>
      <c r="D23" s="6" t="n">
        <v>45668</v>
      </c>
      <c r="E23" s="7" t="n">
        <v>7100</v>
      </c>
      <c r="F23" s="8" t="n">
        <v>0</v>
      </c>
      <c r="G23" s="5" t="s">
        <v>13</v>
      </c>
      <c r="H23" s="9" t="s">
        <v>14</v>
      </c>
      <c r="I23" s="10"/>
    </row>
    <row r="24" customFormat="false" ht="15" hidden="false" customHeight="false" outlineLevel="0" collapsed="false">
      <c r="A24" s="18" t="s">
        <v>52</v>
      </c>
      <c r="B24" s="19" t="s">
        <v>54</v>
      </c>
      <c r="C24" s="20" t="n">
        <v>45601</v>
      </c>
      <c r="D24" s="20" t="n">
        <v>45631</v>
      </c>
      <c r="E24" s="21" t="n">
        <v>4900</v>
      </c>
      <c r="F24" s="22" t="n">
        <v>26</v>
      </c>
      <c r="G24" s="19" t="s">
        <v>22</v>
      </c>
      <c r="H24" s="23" t="s">
        <v>14</v>
      </c>
      <c r="I24" s="24"/>
    </row>
    <row r="25" customFormat="false" ht="15" hidden="false" customHeight="false" outlineLevel="0" collapsed="false">
      <c r="A25" s="39" t="s">
        <v>55</v>
      </c>
      <c r="B25" s="39"/>
      <c r="C25" s="39"/>
      <c r="D25" s="39"/>
      <c r="E25" s="40" t="n">
        <f aca="false">SUM(E5:E24)</f>
        <v>258250</v>
      </c>
      <c r="F25" s="41"/>
      <c r="G25" s="41"/>
      <c r="H25" s="41"/>
      <c r="I25" s="41"/>
    </row>
  </sheetData>
  <mergeCells count="3">
    <mergeCell ref="A1:I1"/>
    <mergeCell ref="A2:I2"/>
    <mergeCell ref="A25:D25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2E75B6"/>
    <pageSetUpPr fitToPage="false"/>
  </sheetPr>
  <dimension ref="A1:E1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18"/>
    <col collapsed="false" customWidth="true" hidden="false" outlineLevel="0" max="2" min="2" style="0" width="16"/>
    <col collapsed="false" customWidth="true" hidden="false" outlineLevel="0" max="4" min="3" style="0" width="14"/>
    <col collapsed="false" customWidth="true" hidden="false" outlineLevel="0" max="5" min="5" style="0" width="16"/>
  </cols>
  <sheetData>
    <row r="1" customFormat="false" ht="27.75" hidden="false" customHeight="true" outlineLevel="0" collapsed="false">
      <c r="A1" s="1" t="s">
        <v>56</v>
      </c>
      <c r="B1" s="1"/>
      <c r="C1" s="1"/>
      <c r="D1" s="1"/>
      <c r="E1" s="1"/>
    </row>
    <row r="3" customFormat="false" ht="19.5" hidden="false" customHeight="true" outlineLevel="0" collapsed="false">
      <c r="A3" s="42" t="s">
        <v>8</v>
      </c>
      <c r="B3" s="42" t="s">
        <v>57</v>
      </c>
      <c r="C3" s="42" t="s">
        <v>58</v>
      </c>
      <c r="D3" s="42" t="s">
        <v>59</v>
      </c>
      <c r="E3" s="42" t="s">
        <v>60</v>
      </c>
    </row>
    <row r="4" customFormat="false" ht="15" hidden="false" customHeight="false" outlineLevel="0" collapsed="false">
      <c r="A4" s="43" t="s">
        <v>13</v>
      </c>
      <c r="B4" s="44" t="n">
        <v>51050</v>
      </c>
      <c r="C4" s="8" t="n">
        <v>8</v>
      </c>
      <c r="D4" s="45" t="n">
        <v>0.197676669893514</v>
      </c>
      <c r="E4" s="8" t="n">
        <v>0</v>
      </c>
    </row>
    <row r="5" customFormat="false" ht="15" hidden="false" customHeight="false" outlineLevel="0" collapsed="false">
      <c r="A5" s="46" t="s">
        <v>22</v>
      </c>
      <c r="B5" s="47" t="n">
        <v>29400</v>
      </c>
      <c r="C5" s="22" t="n">
        <v>4</v>
      </c>
      <c r="D5" s="48" t="n">
        <v>0.113843175217812</v>
      </c>
      <c r="E5" s="22" t="n">
        <v>16</v>
      </c>
    </row>
    <row r="6" customFormat="false" ht="15" hidden="false" customHeight="false" outlineLevel="0" collapsed="false">
      <c r="A6" s="49" t="s">
        <v>18</v>
      </c>
      <c r="B6" s="50" t="n">
        <v>44100</v>
      </c>
      <c r="C6" s="15" t="n">
        <v>3</v>
      </c>
      <c r="D6" s="51" t="n">
        <v>0.170764762826718</v>
      </c>
      <c r="E6" s="15" t="n">
        <v>53</v>
      </c>
    </row>
    <row r="7" customFormat="false" ht="15" hidden="false" customHeight="false" outlineLevel="0" collapsed="false">
      <c r="A7" s="52" t="s">
        <v>32</v>
      </c>
      <c r="B7" s="53" t="n">
        <v>11000</v>
      </c>
      <c r="C7" s="36" t="n">
        <v>1</v>
      </c>
      <c r="D7" s="54" t="n">
        <v>0.042594385285576</v>
      </c>
      <c r="E7" s="36" t="n">
        <v>72</v>
      </c>
    </row>
    <row r="8" customFormat="false" ht="15" hidden="false" customHeight="false" outlineLevel="0" collapsed="false">
      <c r="A8" s="55" t="s">
        <v>28</v>
      </c>
      <c r="B8" s="56" t="n">
        <v>122700</v>
      </c>
      <c r="C8" s="29" t="n">
        <v>4</v>
      </c>
      <c r="D8" s="57" t="n">
        <v>0.47512100677638</v>
      </c>
      <c r="E8" s="29" t="n">
        <v>132</v>
      </c>
    </row>
    <row r="9" customFormat="false" ht="15" hidden="false" customHeight="false" outlineLevel="0" collapsed="false">
      <c r="A9" s="58" t="s">
        <v>61</v>
      </c>
      <c r="B9" s="40" t="n">
        <v>258250</v>
      </c>
      <c r="C9" s="59" t="n">
        <v>20</v>
      </c>
      <c r="D9" s="60" t="n">
        <v>1</v>
      </c>
      <c r="E9" s="41"/>
    </row>
    <row r="11" customFormat="false" ht="15" hidden="false" customHeight="false" outlineLevel="0" collapsed="false">
      <c r="A11" s="61" t="s">
        <v>62</v>
      </c>
      <c r="B11" s="61"/>
      <c r="C11" s="61"/>
      <c r="D11" s="61"/>
      <c r="E11" s="61"/>
    </row>
    <row r="12" customFormat="false" ht="15" hidden="false" customHeight="false" outlineLevel="0" collapsed="false">
      <c r="A12" s="62" t="s">
        <v>63</v>
      </c>
      <c r="B12" s="62"/>
      <c r="C12" s="62"/>
      <c r="D12" s="63" t="s">
        <v>64</v>
      </c>
      <c r="E12" s="63"/>
    </row>
    <row r="13" customFormat="false" ht="15" hidden="false" customHeight="false" outlineLevel="0" collapsed="false">
      <c r="A13" s="64" t="s">
        <v>65</v>
      </c>
      <c r="B13" s="64"/>
      <c r="C13" s="64"/>
      <c r="D13" s="65" t="s">
        <v>66</v>
      </c>
      <c r="E13" s="65"/>
    </row>
    <row r="14" customFormat="false" ht="15" hidden="false" customHeight="false" outlineLevel="0" collapsed="false">
      <c r="A14" s="62" t="s">
        <v>67</v>
      </c>
      <c r="B14" s="62"/>
      <c r="C14" s="62"/>
      <c r="D14" s="66" t="s">
        <v>68</v>
      </c>
      <c r="E14" s="66"/>
    </row>
    <row r="15" customFormat="false" ht="15" hidden="false" customHeight="false" outlineLevel="0" collapsed="false">
      <c r="A15" s="64" t="s">
        <v>69</v>
      </c>
      <c r="B15" s="64"/>
      <c r="C15" s="64"/>
      <c r="D15" s="67" t="s">
        <v>70</v>
      </c>
      <c r="E15" s="67"/>
    </row>
    <row r="16" customFormat="false" ht="15" hidden="false" customHeight="false" outlineLevel="0" collapsed="false">
      <c r="A16" s="62" t="s">
        <v>71</v>
      </c>
      <c r="B16" s="62"/>
      <c r="C16" s="62"/>
      <c r="D16" s="66" t="s">
        <v>72</v>
      </c>
      <c r="E16" s="66"/>
    </row>
    <row r="17" customFormat="false" ht="15" hidden="false" customHeight="false" outlineLevel="0" collapsed="false">
      <c r="A17" s="64" t="s">
        <v>73</v>
      </c>
      <c r="B17" s="64"/>
      <c r="C17" s="64"/>
      <c r="D17" s="68" t="s">
        <v>74</v>
      </c>
      <c r="E17" s="68"/>
    </row>
    <row r="18" customFormat="false" ht="15" hidden="false" customHeight="false" outlineLevel="0" collapsed="false">
      <c r="A18" s="62" t="s">
        <v>75</v>
      </c>
      <c r="B18" s="62"/>
      <c r="C18" s="62"/>
      <c r="D18" s="63" t="s">
        <v>76</v>
      </c>
      <c r="E18" s="63"/>
    </row>
  </sheetData>
  <mergeCells count="16">
    <mergeCell ref="A1:E1"/>
    <mergeCell ref="A11:E11"/>
    <mergeCell ref="A12:C12"/>
    <mergeCell ref="D12:E12"/>
    <mergeCell ref="A13:C13"/>
    <mergeCell ref="D13:E13"/>
    <mergeCell ref="A14:C14"/>
    <mergeCell ref="D14:E14"/>
    <mergeCell ref="A15:C15"/>
    <mergeCell ref="D15:E15"/>
    <mergeCell ref="A16:C16"/>
    <mergeCell ref="D16:E16"/>
    <mergeCell ref="A17:C17"/>
    <mergeCell ref="D17:E17"/>
    <mergeCell ref="A18:C18"/>
    <mergeCell ref="D18:E18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D9E75"/>
    <pageSetUpPr fitToPage="false"/>
  </sheetPr>
  <dimension ref="A1:N4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sheetData>
    <row r="1" customFormat="false" ht="27.75" hidden="false" customHeight="true" outlineLevel="0" collapsed="false">
      <c r="A1" s="1" t="s">
        <v>77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</row>
    <row r="2" customFormat="false" ht="15" hidden="false" customHeight="false" outlineLevel="0" collapsed="false">
      <c r="J2" s="0" t="s">
        <v>13</v>
      </c>
      <c r="K2" s="0" t="s">
        <v>22</v>
      </c>
      <c r="L2" s="0" t="s">
        <v>18</v>
      </c>
      <c r="M2" s="0" t="s">
        <v>32</v>
      </c>
      <c r="N2" s="0" t="s">
        <v>28</v>
      </c>
    </row>
    <row r="3" customFormat="false" ht="15" hidden="false" customHeight="false" outlineLevel="0" collapsed="false">
      <c r="J3" s="0" t="n">
        <v>51050</v>
      </c>
      <c r="K3" s="0" t="n">
        <v>29400</v>
      </c>
      <c r="L3" s="0" t="n">
        <v>44100</v>
      </c>
      <c r="M3" s="0" t="n">
        <v>11000</v>
      </c>
      <c r="N3" s="0" t="n">
        <v>122700</v>
      </c>
    </row>
    <row r="4" customFormat="false" ht="15" hidden="false" customHeight="false" outlineLevel="0" collapsed="false">
      <c r="J4" s="0" t="n">
        <v>8</v>
      </c>
      <c r="K4" s="0" t="n">
        <v>4</v>
      </c>
      <c r="L4" s="0" t="n">
        <v>3</v>
      </c>
      <c r="M4" s="0" t="n">
        <v>1</v>
      </c>
      <c r="N4" s="0" t="n">
        <v>4</v>
      </c>
    </row>
  </sheetData>
  <mergeCells count="1">
    <mergeCell ref="A1:N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C00000"/>
    <pageSetUpPr fitToPage="false"/>
  </sheetPr>
  <dimension ref="A1:G13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4"/>
    <col collapsed="false" customWidth="true" hidden="false" outlineLevel="0" max="7" min="2" style="0" width="14"/>
  </cols>
  <sheetData>
    <row r="1" customFormat="false" ht="27.75" hidden="false" customHeight="true" outlineLevel="0" collapsed="false">
      <c r="A1" s="1" t="s">
        <v>78</v>
      </c>
      <c r="B1" s="1"/>
      <c r="C1" s="1"/>
      <c r="D1" s="1"/>
      <c r="E1" s="1"/>
      <c r="F1" s="1"/>
      <c r="G1" s="1"/>
    </row>
    <row r="3" customFormat="false" ht="19.5" hidden="false" customHeight="true" outlineLevel="0" collapsed="false">
      <c r="A3" s="3" t="s">
        <v>2</v>
      </c>
      <c r="B3" s="3" t="s">
        <v>79</v>
      </c>
      <c r="C3" s="3" t="s">
        <v>58</v>
      </c>
      <c r="D3" s="3" t="s">
        <v>80</v>
      </c>
      <c r="E3" s="3" t="s">
        <v>81</v>
      </c>
      <c r="F3" s="3" t="s">
        <v>9</v>
      </c>
      <c r="G3" s="3" t="s">
        <v>82</v>
      </c>
    </row>
    <row r="4" customFormat="false" ht="15" hidden="false" customHeight="false" outlineLevel="0" collapsed="false">
      <c r="A4" s="18" t="s">
        <v>11</v>
      </c>
      <c r="B4" s="47" t="n">
        <v>20700</v>
      </c>
      <c r="C4" s="22" t="n">
        <v>2</v>
      </c>
      <c r="D4" s="20" t="n">
        <v>45627</v>
      </c>
      <c r="E4" s="22" t="n">
        <v>0</v>
      </c>
      <c r="F4" s="23" t="s">
        <v>14</v>
      </c>
      <c r="G4" s="24" t="s">
        <v>83</v>
      </c>
    </row>
    <row r="5" customFormat="false" ht="15" hidden="false" customHeight="false" outlineLevel="0" collapsed="false">
      <c r="A5" s="69" t="s">
        <v>16</v>
      </c>
      <c r="B5" s="70" t="n">
        <v>26500</v>
      </c>
      <c r="C5" s="71" t="n">
        <v>2</v>
      </c>
      <c r="D5" s="72" t="n">
        <v>45570</v>
      </c>
      <c r="E5" s="71" t="n">
        <v>57</v>
      </c>
      <c r="F5" s="73" t="s">
        <v>19</v>
      </c>
      <c r="G5" s="69" t="s">
        <v>84</v>
      </c>
    </row>
    <row r="6" customFormat="false" ht="15" hidden="false" customHeight="false" outlineLevel="0" collapsed="false">
      <c r="A6" s="18" t="s">
        <v>23</v>
      </c>
      <c r="B6" s="47" t="n">
        <v>13000</v>
      </c>
      <c r="C6" s="22" t="n">
        <v>2</v>
      </c>
      <c r="D6" s="20" t="n">
        <v>45606</v>
      </c>
      <c r="E6" s="22" t="n">
        <v>21</v>
      </c>
      <c r="F6" s="23" t="s">
        <v>14</v>
      </c>
      <c r="G6" s="24" t="s">
        <v>85</v>
      </c>
    </row>
    <row r="7" customFormat="false" ht="15" hidden="false" customHeight="false" outlineLevel="0" collapsed="false">
      <c r="A7" s="69" t="s">
        <v>26</v>
      </c>
      <c r="B7" s="70" t="n">
        <v>45500</v>
      </c>
      <c r="C7" s="71" t="n">
        <v>2</v>
      </c>
      <c r="D7" s="72" t="n">
        <v>45519</v>
      </c>
      <c r="E7" s="71" t="n">
        <v>108</v>
      </c>
      <c r="F7" s="74" t="s">
        <v>29</v>
      </c>
      <c r="G7" s="75" t="s">
        <v>86</v>
      </c>
    </row>
    <row r="8" customFormat="false" ht="15" hidden="false" customHeight="false" outlineLevel="0" collapsed="false">
      <c r="A8" s="18" t="s">
        <v>34</v>
      </c>
      <c r="B8" s="47" t="n">
        <v>10850</v>
      </c>
      <c r="C8" s="22" t="n">
        <v>2</v>
      </c>
      <c r="D8" s="20" t="n">
        <v>45636</v>
      </c>
      <c r="E8" s="22" t="n">
        <v>0</v>
      </c>
      <c r="F8" s="23" t="s">
        <v>14</v>
      </c>
      <c r="G8" s="24" t="s">
        <v>83</v>
      </c>
    </row>
    <row r="9" customFormat="false" ht="15" hidden="false" customHeight="false" outlineLevel="0" collapsed="false">
      <c r="A9" s="69" t="s">
        <v>37</v>
      </c>
      <c r="B9" s="70" t="n">
        <v>25800</v>
      </c>
      <c r="C9" s="71" t="n">
        <v>2</v>
      </c>
      <c r="D9" s="72" t="n">
        <v>45536</v>
      </c>
      <c r="E9" s="71" t="n">
        <v>91</v>
      </c>
      <c r="F9" s="74" t="s">
        <v>29</v>
      </c>
      <c r="G9" s="75" t="s">
        <v>87</v>
      </c>
    </row>
    <row r="10" customFormat="false" ht="15" hidden="false" customHeight="false" outlineLevel="0" collapsed="false">
      <c r="A10" s="18" t="s">
        <v>41</v>
      </c>
      <c r="B10" s="47" t="n">
        <v>33400</v>
      </c>
      <c r="C10" s="22" t="n">
        <v>2</v>
      </c>
      <c r="D10" s="20" t="n">
        <v>45483</v>
      </c>
      <c r="E10" s="22" t="n">
        <v>144</v>
      </c>
      <c r="F10" s="76" t="s">
        <v>29</v>
      </c>
      <c r="G10" s="77" t="s">
        <v>88</v>
      </c>
    </row>
    <row r="11" customFormat="false" ht="15" hidden="false" customHeight="false" outlineLevel="0" collapsed="false">
      <c r="A11" s="69" t="s">
        <v>45</v>
      </c>
      <c r="B11" s="70" t="n">
        <v>13000</v>
      </c>
      <c r="C11" s="71" t="n">
        <v>2</v>
      </c>
      <c r="D11" s="72" t="n">
        <v>45621</v>
      </c>
      <c r="E11" s="71" t="n">
        <v>6</v>
      </c>
      <c r="F11" s="78" t="s">
        <v>14</v>
      </c>
      <c r="G11" s="79" t="s">
        <v>85</v>
      </c>
    </row>
    <row r="12" customFormat="false" ht="15" hidden="false" customHeight="false" outlineLevel="0" collapsed="false">
      <c r="A12" s="18" t="s">
        <v>48</v>
      </c>
      <c r="B12" s="47" t="n">
        <v>57500</v>
      </c>
      <c r="C12" s="22" t="n">
        <v>2</v>
      </c>
      <c r="D12" s="20" t="n">
        <v>45444</v>
      </c>
      <c r="E12" s="22" t="n">
        <v>183</v>
      </c>
      <c r="F12" s="76" t="s">
        <v>29</v>
      </c>
      <c r="G12" s="77" t="s">
        <v>89</v>
      </c>
    </row>
    <row r="13" customFormat="false" ht="15" hidden="false" customHeight="false" outlineLevel="0" collapsed="false">
      <c r="A13" s="69" t="s">
        <v>52</v>
      </c>
      <c r="B13" s="70" t="n">
        <v>12000</v>
      </c>
      <c r="C13" s="71" t="n">
        <v>2</v>
      </c>
      <c r="D13" s="72" t="n">
        <v>45601</v>
      </c>
      <c r="E13" s="71" t="n">
        <v>26</v>
      </c>
      <c r="F13" s="78" t="s">
        <v>14</v>
      </c>
      <c r="G13" s="79" t="s">
        <v>85</v>
      </c>
    </row>
  </sheetData>
  <mergeCells count="1">
    <mergeCell ref="A1:G1"/>
  </mergeCells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2026-06-08T08:58:27Z</dcterms:created>
  <dc:creator>openpyxl</dc:creator>
  <dc:description/>
  <dc:language>en-US</dc:language>
  <cp:lastModifiedBy/>
  <dcterms:modified xsi:type="dcterms:W3CDTF">2026-06-08T08:58:34Z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